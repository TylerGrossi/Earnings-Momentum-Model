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Quantitative Finance/Earnings-Momentum-Model/"/>
    </mc:Choice>
  </mc:AlternateContent>
  <xr:revisionPtr revIDLastSave="141" documentId="8_{F1D64DC5-0E6D-4747-9C38-FEA46FE93DFD}" xr6:coauthVersionLast="47" xr6:coauthVersionMax="47" xr10:uidLastSave="{A3E85FFC-4D5D-4787-B36F-73D39447183C}"/>
  <bookViews>
    <workbookView xWindow="-28920" yWindow="-120" windowWidth="29040" windowHeight="16440" activeTab="1" xr2:uid="{318E3901-F0E8-4C5D-A3E3-62E867DF8979}"/>
  </bookViews>
  <sheets>
    <sheet name="returns_tracker (1)" sheetId="1" r:id="rId1"/>
    <sheet name="Model 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2" l="1"/>
  <c r="H14" i="2" a="1"/>
  <c r="H14" i="2" s="1"/>
  <c r="J12" i="2"/>
  <c r="K12" i="2"/>
  <c r="L12" i="2"/>
  <c r="M12" i="2"/>
  <c r="I12" i="2"/>
  <c r="I8" i="2"/>
  <c r="I7" i="2"/>
  <c r="I6" i="2"/>
  <c r="I5" i="2"/>
  <c r="I4" i="2"/>
  <c r="I3" i="2"/>
  <c r="I2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K19" i="2" l="1"/>
  <c r="I24" i="2"/>
  <c r="K25" i="2"/>
  <c r="L25" i="2" s="1"/>
  <c r="I16" i="2"/>
  <c r="K23" i="2"/>
  <c r="L23" i="2" s="1"/>
  <c r="I22" i="2"/>
  <c r="J22" i="2"/>
  <c r="I15" i="2"/>
  <c r="J19" i="2"/>
  <c r="I20" i="2"/>
  <c r="J15" i="2"/>
  <c r="K26" i="2"/>
  <c r="K18" i="2"/>
  <c r="J20" i="2"/>
  <c r="I21" i="2"/>
  <c r="I25" i="2"/>
  <c r="I23" i="2"/>
  <c r="K16" i="2"/>
  <c r="K21" i="2"/>
  <c r="J18" i="2"/>
  <c r="J16" i="2"/>
  <c r="J23" i="2"/>
  <c r="K15" i="2"/>
  <c r="I17" i="2"/>
  <c r="J21" i="2"/>
  <c r="K24" i="2"/>
  <c r="J26" i="2"/>
  <c r="K17" i="2"/>
  <c r="J25" i="2"/>
  <c r="K22" i="2"/>
  <c r="J24" i="2"/>
  <c r="J17" i="2"/>
  <c r="I19" i="2"/>
  <c r="I26" i="2"/>
  <c r="I18" i="2"/>
  <c r="K20" i="2"/>
  <c r="I14" i="2"/>
  <c r="J14" i="2"/>
  <c r="K14" i="2"/>
  <c r="L20" i="2" l="1"/>
  <c r="L22" i="2"/>
  <c r="L18" i="2"/>
  <c r="L26" i="2"/>
  <c r="L16" i="2"/>
  <c r="L17" i="2"/>
  <c r="L24" i="2"/>
  <c r="L14" i="2"/>
  <c r="L15" i="2"/>
  <c r="L21" i="2"/>
  <c r="L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<sst xmlns="http://schemas.openxmlformats.org/spreadsheetml/2006/main" count="2054" uniqueCount="633">
  <si>
    <t>Ticker</t>
  </si>
  <si>
    <t>Fiscal Quarter</t>
  </si>
  <si>
    <t>Earnings Date</t>
  </si>
  <si>
    <t>Earnings Date (yfinance)</t>
  </si>
  <si>
    <t>Date Check</t>
  </si>
  <si>
    <t>Date Added</t>
  </si>
  <si>
    <t>Earnings Timing</t>
  </si>
  <si>
    <t>Price</t>
  </si>
  <si>
    <t>EPS (TTM)</t>
  </si>
  <si>
    <t>EPS Estimate</t>
  </si>
  <si>
    <t>Reported EPS</t>
  </si>
  <si>
    <t>EPS Surprise (%)</t>
  </si>
  <si>
    <t>P/E</t>
  </si>
  <si>
    <t>Forward P/E</t>
  </si>
  <si>
    <t>Market Cap</t>
  </si>
  <si>
    <t>Beta</t>
  </si>
  <si>
    <t>1D Return</t>
  </si>
  <si>
    <t>3D Return</t>
  </si>
  <si>
    <t>5D Return</t>
  </si>
  <si>
    <t>7D Return</t>
  </si>
  <si>
    <t>10D Return</t>
  </si>
  <si>
    <t>Return to Today</t>
  </si>
  <si>
    <t>1W High Return</t>
  </si>
  <si>
    <t>1W Low Return</t>
  </si>
  <si>
    <t>1W Range</t>
  </si>
  <si>
    <t>1W High Price</t>
  </si>
  <si>
    <t>1W Low Price</t>
  </si>
  <si>
    <t>Company Name</t>
  </si>
  <si>
    <t>Sector</t>
  </si>
  <si>
    <t>TGS</t>
  </si>
  <si>
    <t>Q3 FY25</t>
  </si>
  <si>
    <t>OK</t>
  </si>
  <si>
    <t>BMO</t>
  </si>
  <si>
    <t>Transportadora de Gas del Sur S.A.</t>
  </si>
  <si>
    <t>Energy</t>
  </si>
  <si>
    <t>RYAAY</t>
  </si>
  <si>
    <t>Q2 FY26</t>
  </si>
  <si>
    <t>Ryanair Holdings plc</t>
  </si>
  <si>
    <t>Industrials</t>
  </si>
  <si>
    <t>QRVO</t>
  </si>
  <si>
    <t>AMC</t>
  </si>
  <si>
    <t>Qorvo, Inc.</t>
  </si>
  <si>
    <t>Technology</t>
  </si>
  <si>
    <t>NOVT</t>
  </si>
  <si>
    <t>Novanta Inc.</t>
  </si>
  <si>
    <t>IDXX</t>
  </si>
  <si>
    <t>IDEXX Laboratories, Inc.</t>
  </si>
  <si>
    <t>Healthcare</t>
  </si>
  <si>
    <t>HLIO</t>
  </si>
  <si>
    <t>Helios Technologies, Inc.</t>
  </si>
  <si>
    <t>PCH</t>
  </si>
  <si>
    <t>PotlatchDeltic Corporation</t>
  </si>
  <si>
    <t>Real Estate</t>
  </si>
  <si>
    <t>UFPT</t>
  </si>
  <si>
    <t>UFP Technologies, Inc.</t>
  </si>
  <si>
    <t>CTRA</t>
  </si>
  <si>
    <t>Coterra Energy Inc.</t>
  </si>
  <si>
    <t>PAM</t>
  </si>
  <si>
    <t>Pampa EnergÃ­a S.A.</t>
  </si>
  <si>
    <t>Utilities</t>
  </si>
  <si>
    <t>MEC</t>
  </si>
  <si>
    <t>Mayville Engineering Company, Inc.</t>
  </si>
  <si>
    <t>FWRG</t>
  </si>
  <si>
    <t>First Watch Restaurant Group, Inc.</t>
  </si>
  <si>
    <t>Consumer Cyclical</t>
  </si>
  <si>
    <t>OUST</t>
  </si>
  <si>
    <t>Ouster, Inc.</t>
  </si>
  <si>
    <t>OFIX</t>
  </si>
  <si>
    <t>Orthofix Medical Inc.</t>
  </si>
  <si>
    <t>SHC</t>
  </si>
  <si>
    <t>Sotera Health Company</t>
  </si>
  <si>
    <t>AHCO</t>
  </si>
  <si>
    <t>AdaptHealth Corp.</t>
  </si>
  <si>
    <t>VTOL</t>
  </si>
  <si>
    <t>Bristow Group Inc.</t>
  </si>
  <si>
    <t>CPRI</t>
  </si>
  <si>
    <t>Capri Holdings Limited</t>
  </si>
  <si>
    <t>PHG</t>
  </si>
  <si>
    <t>Koninklijke Philips N.V.</t>
  </si>
  <si>
    <t>DAVE</t>
  </si>
  <si>
    <t>Dave Inc.</t>
  </si>
  <si>
    <t>BHE</t>
  </si>
  <si>
    <t>Benchmark Electronics, Inc.</t>
  </si>
  <si>
    <t>KGS</t>
  </si>
  <si>
    <t>Kodiak Gas Services, Inc.</t>
  </si>
  <si>
    <t>TDC</t>
  </si>
  <si>
    <t>Teradata Corporation</t>
  </si>
  <si>
    <t>AVNW</t>
  </si>
  <si>
    <t>Q1 FY26</t>
  </si>
  <si>
    <t>Aviat Networks, Inc.</t>
  </si>
  <si>
    <t>AUPH</t>
  </si>
  <si>
    <t>Aurinia Pharmaceuticals Inc.</t>
  </si>
  <si>
    <t>UFCS</t>
  </si>
  <si>
    <t>United Fire Group, Inc.</t>
  </si>
  <si>
    <t>Financial Services</t>
  </si>
  <si>
    <t>MAR</t>
  </si>
  <si>
    <t>Marriott International, Inc.</t>
  </si>
  <si>
    <t>BVS</t>
  </si>
  <si>
    <t>Bioventus Inc.</t>
  </si>
  <si>
    <t>HG</t>
  </si>
  <si>
    <t>Hamilton Insurance Group, Ltd.</t>
  </si>
  <si>
    <t>FLYW</t>
  </si>
  <si>
    <t>Flywire Corporation</t>
  </si>
  <si>
    <t>MDGL</t>
  </si>
  <si>
    <t>Madrigal Pharmaceuticals, Inc.</t>
  </si>
  <si>
    <t>MPLX</t>
  </si>
  <si>
    <t>MPLX LP</t>
  </si>
  <si>
    <t>EXPD</t>
  </si>
  <si>
    <t>Expeditors International of Washington, Inc.</t>
  </si>
  <si>
    <t>CLOV</t>
  </si>
  <si>
    <t>Clover Health Investments, Corp.</t>
  </si>
  <si>
    <t>BLD</t>
  </si>
  <si>
    <t>TopBuild Corp.</t>
  </si>
  <si>
    <t>HUM</t>
  </si>
  <si>
    <t>Humana Inc.</t>
  </si>
  <si>
    <t>MTRX</t>
  </si>
  <si>
    <t>Matrix Service Company</t>
  </si>
  <si>
    <t>DBD</t>
  </si>
  <si>
    <t>Diebold Nixdorf, Incorporated</t>
  </si>
  <si>
    <t>BORR</t>
  </si>
  <si>
    <t>Borr Drilling Limited</t>
  </si>
  <si>
    <t>RPRX</t>
  </si>
  <si>
    <t>Royalty Pharma plc</t>
  </si>
  <si>
    <t>PKST</t>
  </si>
  <si>
    <t>Peakstone Realty Trust</t>
  </si>
  <si>
    <t>EFC</t>
  </si>
  <si>
    <t>Ellington Financial Inc.</t>
  </si>
  <si>
    <t>TBLA</t>
  </si>
  <si>
    <t>Taboola.com Ltd.</t>
  </si>
  <si>
    <t>Communication Services</t>
  </si>
  <si>
    <t>LMND</t>
  </si>
  <si>
    <t>Lemonade, Inc.</t>
  </si>
  <si>
    <t>CTKB</t>
  </si>
  <si>
    <t>Cytek Biosciences, Inc.</t>
  </si>
  <si>
    <t>FSLY</t>
  </si>
  <si>
    <t>Fastly, Inc.</t>
  </si>
  <si>
    <t>LILA</t>
  </si>
  <si>
    <t>Liberty Latin America Ltd.</t>
  </si>
  <si>
    <t>ITUB</t>
  </si>
  <si>
    <t>ItaÃº Unibanco Holding S.A.</t>
  </si>
  <si>
    <t>CTRE</t>
  </si>
  <si>
    <t>CareTrust REIT, Inc.</t>
  </si>
  <si>
    <t>EMR</t>
  </si>
  <si>
    <t>Q4 FY25</t>
  </si>
  <si>
    <t>Emerson Electric Co.</t>
  </si>
  <si>
    <t>IBP</t>
  </si>
  <si>
    <t>Installed Building Products, Inc.</t>
  </si>
  <si>
    <t>XFOR</t>
  </si>
  <si>
    <t>X4 Pharmaceuticals, Inc.</t>
  </si>
  <si>
    <t>TrueCar, Inc.</t>
  </si>
  <si>
    <t>BRLT</t>
  </si>
  <si>
    <t>Brilliant Earth Group, Inc.</t>
  </si>
  <si>
    <t>TM</t>
  </si>
  <si>
    <t>Toyota Motor Corporation</t>
  </si>
  <si>
    <t>XPEL</t>
  </si>
  <si>
    <t>XPEL, Inc.</t>
  </si>
  <si>
    <t>ALTO</t>
  </si>
  <si>
    <t>Alto Ingredients, Inc.</t>
  </si>
  <si>
    <t>Basic Materials</t>
  </si>
  <si>
    <t>GPRK</t>
  </si>
  <si>
    <t>GeoPark Limited</t>
  </si>
  <si>
    <t>LILAK</t>
  </si>
  <si>
    <t>ECPG</t>
  </si>
  <si>
    <t>Encore Capital Group, Inc.</t>
  </si>
  <si>
    <t>VTRS</t>
  </si>
  <si>
    <t>Viatris Inc.</t>
  </si>
  <si>
    <t>ARLO</t>
  </si>
  <si>
    <t>Arlo Technologies, Inc.</t>
  </si>
  <si>
    <t>TXG</t>
  </si>
  <si>
    <t>10x Genomics, Inc.</t>
  </si>
  <si>
    <t>BL</t>
  </si>
  <si>
    <t>BlackLine, Inc.</t>
  </si>
  <si>
    <t>ATHA</t>
  </si>
  <si>
    <t>Athira Pharma, Inc.</t>
  </si>
  <si>
    <t>TBCH</t>
  </si>
  <si>
    <t>Turtle Beach Corporation</t>
  </si>
  <si>
    <t>TFX</t>
  </si>
  <si>
    <t>Teleflex Incorporated</t>
  </si>
  <si>
    <t>AHR</t>
  </si>
  <si>
    <t>American Healthcare REIT, Inc.</t>
  </si>
  <si>
    <t>AORT</t>
  </si>
  <si>
    <t>Artivion, Inc.</t>
  </si>
  <si>
    <t>EXPE</t>
  </si>
  <si>
    <t>Expedia Group, Inc.</t>
  </si>
  <si>
    <t>HBIO</t>
  </si>
  <si>
    <t>Harvard Bioscience, Inc.</t>
  </si>
  <si>
    <t>URGN</t>
  </si>
  <si>
    <t>UroGen Pharma Ltd.</t>
  </si>
  <si>
    <t>GHRS</t>
  </si>
  <si>
    <t>GH Research PLC</t>
  </si>
  <si>
    <t>INTS</t>
  </si>
  <si>
    <t>Intensity Therapeutics, Inc.</t>
  </si>
  <si>
    <t>RLYB</t>
  </si>
  <si>
    <t>Rallybio Corporation</t>
  </si>
  <si>
    <t>SYNA</t>
  </si>
  <si>
    <t>Synaptics Incorporated</t>
  </si>
  <si>
    <t>XYZ</t>
  </si>
  <si>
    <t>Block, Inc.</t>
  </si>
  <si>
    <t>BIRD</t>
  </si>
  <si>
    <t>Allbirds, Inc.</t>
  </si>
  <si>
    <t>LOMA</t>
  </si>
  <si>
    <t>Loma Negra CompaÃ±Ã­a Industrial Argentina Sociedad AnÃ³nima</t>
  </si>
  <si>
    <t>INSW</t>
  </si>
  <si>
    <t>International Seaways, Inc.</t>
  </si>
  <si>
    <t>GMED</t>
  </si>
  <si>
    <t>Globus Medical, Inc.</t>
  </si>
  <si>
    <t>PH</t>
  </si>
  <si>
    <t>Parker-Hannifin Corporation</t>
  </si>
  <si>
    <t>MSC</t>
  </si>
  <si>
    <t>Studio City International Holdings Limited</t>
  </si>
  <si>
    <t>DIOD</t>
  </si>
  <si>
    <t>Diodes Incorporated</t>
  </si>
  <si>
    <t>HAE</t>
  </si>
  <si>
    <t>Haemonetics Corporation</t>
  </si>
  <si>
    <t>PLUS</t>
  </si>
  <si>
    <t>ePlus inc.</t>
  </si>
  <si>
    <t>TCX</t>
  </si>
  <si>
    <t>Tucows Inc.</t>
  </si>
  <si>
    <t>MODG</t>
  </si>
  <si>
    <t>Topgolf Callaway Brands Corp.</t>
  </si>
  <si>
    <t>SGHT</t>
  </si>
  <si>
    <t>Sight Sciences, Inc.</t>
  </si>
  <si>
    <t>BHF</t>
  </si>
  <si>
    <t>DATE PASSED</t>
  </si>
  <si>
    <t>Brighthouse Financial, Inc.</t>
  </si>
  <si>
    <t>DIBS</t>
  </si>
  <si>
    <t>1stdibs.Com, Inc.</t>
  </si>
  <si>
    <t>AXL</t>
  </si>
  <si>
    <t>American Axle &amp; Manufacturing Holdings, Inc.</t>
  </si>
  <si>
    <t>ATMU</t>
  </si>
  <si>
    <t>Atmus Filtration Technologies Inc.</t>
  </si>
  <si>
    <t>CTEV</t>
  </si>
  <si>
    <t>Claritev Corporation</t>
  </si>
  <si>
    <t>TDS</t>
  </si>
  <si>
    <t>Telephone and Data Systems, Inc.</t>
  </si>
  <si>
    <t>YPF</t>
  </si>
  <si>
    <t>YPF Sociedad AnÃ³nima</t>
  </si>
  <si>
    <t>RNGR</t>
  </si>
  <si>
    <t>Ranger Energy Services, Inc.</t>
  </si>
  <si>
    <t>HHH</t>
  </si>
  <si>
    <t>Howard Hughes Holdings Inc.</t>
  </si>
  <si>
    <t>BKV</t>
  </si>
  <si>
    <t>BKV Corporation</t>
  </si>
  <si>
    <t>GRDN</t>
  </si>
  <si>
    <t>Guardian Pharmacy Services, Inc.</t>
  </si>
  <si>
    <t>SIBN</t>
  </si>
  <si>
    <t>SI-BONE, Inc.</t>
  </si>
  <si>
    <t>KLTR</t>
  </si>
  <si>
    <t>Kaltura, Inc.</t>
  </si>
  <si>
    <t>SNDA</t>
  </si>
  <si>
    <t>Sonida Senior Living, Inc.</t>
  </si>
  <si>
    <t>GSL</t>
  </si>
  <si>
    <t>Global Ship Lease, Inc.</t>
  </si>
  <si>
    <t>VOD</t>
  </si>
  <si>
    <t>Vodafone Group Public Limited Company</t>
  </si>
  <si>
    <t>ALTI</t>
  </si>
  <si>
    <t>AlTi Global, Inc.</t>
  </si>
  <si>
    <t>ELMD</t>
  </si>
  <si>
    <t>Electromed, Inc.</t>
  </si>
  <si>
    <t>FLNG</t>
  </si>
  <si>
    <t>FLEX LNG Ltd.</t>
  </si>
  <si>
    <t>PYPD</t>
  </si>
  <si>
    <t>PolyPid Ltd.</t>
  </si>
  <si>
    <t>AVIR</t>
  </si>
  <si>
    <t>Atea Pharmaceuticals, Inc.</t>
  </si>
  <si>
    <t>KRMD</t>
  </si>
  <si>
    <t>KORU Medical Systems, Inc.</t>
  </si>
  <si>
    <t>BN</t>
  </si>
  <si>
    <t>Brookfield Corporation</t>
  </si>
  <si>
    <t>PTHS</t>
  </si>
  <si>
    <t>Pelthos Therapeutics Inc.</t>
  </si>
  <si>
    <t>GRCE</t>
  </si>
  <si>
    <t>Grace Therapeutics, Inc.</t>
  </si>
  <si>
    <t>EC</t>
  </si>
  <si>
    <t>Ecopetrol S.A.</t>
  </si>
  <si>
    <t>EVOK</t>
  </si>
  <si>
    <t>Evoke Pharma, Inc.</t>
  </si>
  <si>
    <t>SPB</t>
  </si>
  <si>
    <t>Spectrum Brands Holdings, Inc.</t>
  </si>
  <si>
    <t>Consumer Defensive</t>
  </si>
  <si>
    <t>PGEN</t>
  </si>
  <si>
    <t>Precigen, Inc.</t>
  </si>
  <si>
    <t>MNOV</t>
  </si>
  <si>
    <t>MediciNova, Inc.</t>
  </si>
  <si>
    <t>SHIP</t>
  </si>
  <si>
    <t>Seanergy Maritime Holdings Corp</t>
  </si>
  <si>
    <t>FRGE</t>
  </si>
  <si>
    <t>Forge Global Holdings, Inc.</t>
  </si>
  <si>
    <t>VENU</t>
  </si>
  <si>
    <t>Venu Holding Corporation</t>
  </si>
  <si>
    <t>CIG</t>
  </si>
  <si>
    <t>Companhia EnergÃ©tica de Minas Gerais - CEMIG</t>
  </si>
  <si>
    <t>MFG</t>
  </si>
  <si>
    <t>Mizuho Financial Group, Inc.</t>
  </si>
  <si>
    <t>JKS</t>
  </si>
  <si>
    <t>JinkoSolar Holding Co., Ltd.</t>
  </si>
  <si>
    <t>LTM</t>
  </si>
  <si>
    <t>LATAM Airlines Group S.A.</t>
  </si>
  <si>
    <t>DAC</t>
  </si>
  <si>
    <t>Danaos Corporation</t>
  </si>
  <si>
    <t>XP</t>
  </si>
  <si>
    <t>XP Inc.</t>
  </si>
  <si>
    <t>FUTU</t>
  </si>
  <si>
    <t>Futu Holdings Limited</t>
  </si>
  <si>
    <t>NMM</t>
  </si>
  <si>
    <t>Navios Maritime Partners L.P.</t>
  </si>
  <si>
    <t>VREX</t>
  </si>
  <si>
    <t>Varex Imaging Corporation</t>
  </si>
  <si>
    <t>SBLK</t>
  </si>
  <si>
    <t>Star Bulk Carriers Corp.</t>
  </si>
  <si>
    <t>PACS</t>
  </si>
  <si>
    <t>PACS Group, Inc.</t>
  </si>
  <si>
    <t>LUXE</t>
  </si>
  <si>
    <t>LuxExperience B.V.</t>
  </si>
  <si>
    <t>JOYY</t>
  </si>
  <si>
    <t>JOYY Inc.</t>
  </si>
  <si>
    <t>GLBE</t>
  </si>
  <si>
    <t>Global-E Online Ltd.</t>
  </si>
  <si>
    <t>ESTC</t>
  </si>
  <si>
    <t>Elastic N.V.</t>
  </si>
  <si>
    <t>GAP</t>
  </si>
  <si>
    <t>Q3 FY26</t>
  </si>
  <si>
    <t>The Gap, Inc.</t>
  </si>
  <si>
    <t>ZIM</t>
  </si>
  <si>
    <t>ZIM Integrated Shipping Services Ltd.</t>
  </si>
  <si>
    <t>UGI</t>
  </si>
  <si>
    <t>UGI Corporation</t>
  </si>
  <si>
    <t>VFS</t>
  </si>
  <si>
    <t>VinFast Auto Ltd.</t>
  </si>
  <si>
    <t>AMTM</t>
  </si>
  <si>
    <t>Amentum Holdings, Inc.</t>
  </si>
  <si>
    <t>ZM</t>
  </si>
  <si>
    <t>Zoom Communications Inc.</t>
  </si>
  <si>
    <t>WALD</t>
  </si>
  <si>
    <t>Waldencast plc</t>
  </si>
  <si>
    <t>KSS</t>
  </si>
  <si>
    <t>Kohl's Corporation</t>
  </si>
  <si>
    <t>TITN</t>
  </si>
  <si>
    <t>Titan Machinery Inc.</t>
  </si>
  <si>
    <t>MOV</t>
  </si>
  <si>
    <t>Movado Group, Inc.</t>
  </si>
  <si>
    <t>GASS</t>
  </si>
  <si>
    <t>StealthGas Inc.</t>
  </si>
  <si>
    <t>CMBT</t>
  </si>
  <si>
    <t>Cmb.Tech NV</t>
  </si>
  <si>
    <t>AEO</t>
  </si>
  <si>
    <t>American Eagle Outfitters, Inc.</t>
  </si>
  <si>
    <t>SCLX</t>
  </si>
  <si>
    <t>Scilex Holding Company</t>
  </si>
  <si>
    <t>FIVE</t>
  </si>
  <si>
    <t>Five Below, Inc.</t>
  </si>
  <si>
    <t>DG</t>
  </si>
  <si>
    <t>Dollar General Corporation</t>
  </si>
  <si>
    <t>GCO</t>
  </si>
  <si>
    <t>Genesco Inc.</t>
  </si>
  <si>
    <t>DOOO</t>
  </si>
  <si>
    <t>BRP Inc.</t>
  </si>
  <si>
    <t>YEXT</t>
  </si>
  <si>
    <t>Yext, Inc.</t>
  </si>
  <si>
    <t>CMP</t>
  </si>
  <si>
    <t>Compass Minerals International, Inc.</t>
  </si>
  <si>
    <t>TOL</t>
  </si>
  <si>
    <t>Toll Brothers, Inc.</t>
  </si>
  <si>
    <t>MAMA</t>
  </si>
  <si>
    <t>Mama's Creations, Inc.</t>
  </si>
  <si>
    <t>BRZE</t>
  </si>
  <si>
    <t>Braze, Inc.</t>
  </si>
  <si>
    <t>CASY</t>
  </si>
  <si>
    <t>Casey's General Stores, Inc.</t>
  </si>
  <si>
    <t>VBNK</t>
  </si>
  <si>
    <t>VersaBank</t>
  </si>
  <si>
    <t>PLAB</t>
  </si>
  <si>
    <t>Photronics, Inc.</t>
  </si>
  <si>
    <t>ASYS</t>
  </si>
  <si>
    <t>Amtech Systems, Inc.</t>
  </si>
  <si>
    <t>VZLA</t>
  </si>
  <si>
    <t>Vizsla Silver Corp.</t>
  </si>
  <si>
    <t>HOFT</t>
  </si>
  <si>
    <t>Hooker Furnishings Corporation</t>
  </si>
  <si>
    <t>RENT</t>
  </si>
  <si>
    <t>Rent the Runway, Inc.</t>
  </si>
  <si>
    <t>QIPT</t>
  </si>
  <si>
    <t>Quipt Home Medical Corp.</t>
  </si>
  <si>
    <t>OGI</t>
  </si>
  <si>
    <t>Organigram Global Inc.</t>
  </si>
  <si>
    <t>CSPI</t>
  </si>
  <si>
    <t>CSP Inc.</t>
  </si>
  <si>
    <t>ABM</t>
  </si>
  <si>
    <t>ABM Industries Incorporated</t>
  </si>
  <si>
    <t>JBL</t>
  </si>
  <si>
    <t>Jabil Inc.</t>
  </si>
  <si>
    <t>MLKN</t>
  </si>
  <si>
    <t>MillerKnoll, Inc.</t>
  </si>
  <si>
    <t>OCC</t>
  </si>
  <si>
    <t>Optical Cable Corporation</t>
  </si>
  <si>
    <t>KBH</t>
  </si>
  <si>
    <t>KB Home</t>
  </si>
  <si>
    <t>ISSC</t>
  </si>
  <si>
    <t>Innovative Aerosystems, Inc.</t>
  </si>
  <si>
    <t>EBF</t>
  </si>
  <si>
    <t>Ennis, Inc.</t>
  </si>
  <si>
    <t>AIR</t>
  </si>
  <si>
    <t>AAR Corp.</t>
  </si>
  <si>
    <t>RELL</t>
  </si>
  <si>
    <t>Richardson Electronics, Ltd.</t>
  </si>
  <si>
    <t>ICCC</t>
  </si>
  <si>
    <t>ImmuCell Corporation</t>
  </si>
  <si>
    <t>NTIC</t>
  </si>
  <si>
    <t>Northern Technologies International Corporation</t>
  </si>
  <si>
    <t>SNX</t>
  </si>
  <si>
    <t>TD SYNNEX Corporation</t>
  </si>
  <si>
    <t>SIFY</t>
  </si>
  <si>
    <t>Sify Technologies Limited</t>
  </si>
  <si>
    <t>HOVR</t>
  </si>
  <si>
    <t>New Horizon Aircraft Ltd.</t>
  </si>
  <si>
    <t>RILY</t>
  </si>
  <si>
    <t>BRC Group Holdings, Inc.</t>
  </si>
  <si>
    <t>BLK</t>
  </si>
  <si>
    <t>BlackRock, Inc.</t>
  </si>
  <si>
    <t>IBKR</t>
  </si>
  <si>
    <t>Interactive Brokers Group, Inc.</t>
  </si>
  <si>
    <t>TEL</t>
  </si>
  <si>
    <t>TE Connectivity plc</t>
  </si>
  <si>
    <t>GE</t>
  </si>
  <si>
    <t>GE Aerospace</t>
  </si>
  <si>
    <t>LYTS</t>
  </si>
  <si>
    <t>LSI Industries Inc.</t>
  </si>
  <si>
    <t>INTC</t>
  </si>
  <si>
    <t>Intel Corporation</t>
  </si>
  <si>
    <t>SANM</t>
  </si>
  <si>
    <t>Sanmina Corporation</t>
  </si>
  <si>
    <t>NXT</t>
  </si>
  <si>
    <t>Nextpower Inc.</t>
  </si>
  <si>
    <t>MHO</t>
  </si>
  <si>
    <t>M/I Homes, Inc.</t>
  </si>
  <si>
    <t>OTIS</t>
  </si>
  <si>
    <t>Otis Worldwide Corporation</t>
  </si>
  <si>
    <t>APH</t>
  </si>
  <si>
    <t>Amphenol Corporation</t>
  </si>
  <si>
    <t>CCS</t>
  </si>
  <si>
    <t>Century Communities, Inc.</t>
  </si>
  <si>
    <t>MTH</t>
  </si>
  <si>
    <t>Meritage Homes Corporation</t>
  </si>
  <si>
    <t>NOK</t>
  </si>
  <si>
    <t>Nokia Oyj</t>
  </si>
  <si>
    <t>SHW</t>
  </si>
  <si>
    <t>The Sherwin-Williams Company</t>
  </si>
  <si>
    <t>VLO</t>
  </si>
  <si>
    <t>Valero Energy Corporation</t>
  </si>
  <si>
    <t>VIRT</t>
  </si>
  <si>
    <t>Virtu Financial, Inc.</t>
  </si>
  <si>
    <t>MO</t>
  </si>
  <si>
    <t>Altria Group, Inc.</t>
  </si>
  <si>
    <t>SILC</t>
  </si>
  <si>
    <t>Silicom Ltd.</t>
  </si>
  <si>
    <t>TAL</t>
  </si>
  <si>
    <t>TAL Education Group</t>
  </si>
  <si>
    <t>LPLA</t>
  </si>
  <si>
    <t>LPL Financial Holdings Inc.</t>
  </si>
  <si>
    <t>SXI</t>
  </si>
  <si>
    <t>Standex International Corporation</t>
  </si>
  <si>
    <t>BZH</t>
  </si>
  <si>
    <t>Beazer Homes USA, Inc.</t>
  </si>
  <si>
    <t>GSIT</t>
  </si>
  <si>
    <t>GSI Technology, Inc.</t>
  </si>
  <si>
    <t>CVX</t>
  </si>
  <si>
    <t>Chevron Corporation</t>
  </si>
  <si>
    <t>LYB</t>
  </si>
  <si>
    <t>LyondellBasell Industries N.V.</t>
  </si>
  <si>
    <t>IMO</t>
  </si>
  <si>
    <t>Imperial Oil Limited</t>
  </si>
  <si>
    <t>IESC</t>
  </si>
  <si>
    <t>IES Holdings, Inc.</t>
  </si>
  <si>
    <t>RMBS</t>
  </si>
  <si>
    <t>Rambus Inc.</t>
  </si>
  <si>
    <t>MZTI</t>
  </si>
  <si>
    <t>The Marzetti Company</t>
  </si>
  <si>
    <t>GLXY</t>
  </si>
  <si>
    <t>Galaxy Digital</t>
  </si>
  <si>
    <t>PNR</t>
  </si>
  <si>
    <t>Pentair plc</t>
  </si>
  <si>
    <t>ETN</t>
  </si>
  <si>
    <t>Eaton Corporation plc</t>
  </si>
  <si>
    <t>PFE</t>
  </si>
  <si>
    <t>Pfizer Inc.</t>
  </si>
  <si>
    <t>AMD</t>
  </si>
  <si>
    <t>Advanced Micro Devices, Inc.</t>
  </si>
  <si>
    <t>LUMN</t>
  </si>
  <si>
    <t>Lumen Technologies, Inc.</t>
  </si>
  <si>
    <t>EGAN</t>
  </si>
  <si>
    <t>eGain Corporation</t>
  </si>
  <si>
    <t>APPS</t>
  </si>
  <si>
    <t>Digital Turbine, Inc.</t>
  </si>
  <si>
    <t>AMGN</t>
  </si>
  <si>
    <t>Amgen Inc.</t>
  </si>
  <si>
    <t>COR</t>
  </si>
  <si>
    <t>Cencora, Inc.</t>
  </si>
  <si>
    <t>BG</t>
  </si>
  <si>
    <t>Bunge Global SA</t>
  </si>
  <si>
    <t>PSX</t>
  </si>
  <si>
    <t>Phillips 66</t>
  </si>
  <si>
    <t>PFGC</t>
  </si>
  <si>
    <t>Performance Food Group Company</t>
  </si>
  <si>
    <t>CME</t>
  </si>
  <si>
    <t>CME Group Inc.</t>
  </si>
  <si>
    <t>SYM</t>
  </si>
  <si>
    <t>Symbotic Inc.</t>
  </si>
  <si>
    <t>BKH</t>
  </si>
  <si>
    <t>Black Hills Corporation</t>
  </si>
  <si>
    <t>PAHC</t>
  </si>
  <si>
    <t>Phibro Animal Health Corporation</t>
  </si>
  <si>
    <t>DHT</t>
  </si>
  <si>
    <t>DHT Holdings, Inc.</t>
  </si>
  <si>
    <t>STE</t>
  </si>
  <si>
    <t>STERIS plc</t>
  </si>
  <si>
    <t>SPH</t>
  </si>
  <si>
    <t>Suburban Propane Partners, L.P.</t>
  </si>
  <si>
    <t>ITT</t>
  </si>
  <si>
    <t>ITT Inc.</t>
  </si>
  <si>
    <t>SCSC</t>
  </si>
  <si>
    <t>ScanSource, Inc.</t>
  </si>
  <si>
    <t>AB</t>
  </si>
  <si>
    <t>AllianceBernstein Holding L.P.</t>
  </si>
  <si>
    <t>SHEL</t>
  </si>
  <si>
    <t>Shell plc</t>
  </si>
  <si>
    <t>MDU</t>
  </si>
  <si>
    <t>MDU Resources Group, Inc.</t>
  </si>
  <si>
    <t>WEC</t>
  </si>
  <si>
    <t>WEC Energy Group, Inc.</t>
  </si>
  <si>
    <t>REG</t>
  </si>
  <si>
    <t>Regency Centers Corporation</t>
  </si>
  <si>
    <t>BBD</t>
  </si>
  <si>
    <t>Banco Bradesco S.A.</t>
  </si>
  <si>
    <t>CDP</t>
  </si>
  <si>
    <t>COPT Defense Properties</t>
  </si>
  <si>
    <t>ESE</t>
  </si>
  <si>
    <t>ESCO Technologies Inc.</t>
  </si>
  <si>
    <t>PFIS</t>
  </si>
  <si>
    <t>Peoples Financial Services Corp.</t>
  </si>
  <si>
    <t>BE</t>
  </si>
  <si>
    <t>Bloom Energy Corporation</t>
  </si>
  <si>
    <t>IREN</t>
  </si>
  <si>
    <t>IREN Limited</t>
  </si>
  <si>
    <t>BARK</t>
  </si>
  <si>
    <t>BARK, Inc.</t>
  </si>
  <si>
    <t>MGY</t>
  </si>
  <si>
    <t>Magnolia Oil &amp; Gas Corporation</t>
  </si>
  <si>
    <t>NVT</t>
  </si>
  <si>
    <t>nVent Electric plc</t>
  </si>
  <si>
    <t>ACGL</t>
  </si>
  <si>
    <t>Arch Capital Group Ltd.</t>
  </si>
  <si>
    <t>DLHC</t>
  </si>
  <si>
    <t>DLH Holdings Corp.</t>
  </si>
  <si>
    <t>DUK</t>
  </si>
  <si>
    <t>Duke Energy Corporation</t>
  </si>
  <si>
    <t>DGX</t>
  </si>
  <si>
    <t>Quest Diagnostics Incorporated</t>
  </si>
  <si>
    <t>XYL</t>
  </si>
  <si>
    <t>Xylem Inc.</t>
  </si>
  <si>
    <t>BP</t>
  </si>
  <si>
    <t>BP p.l.c.</t>
  </si>
  <si>
    <t>KO</t>
  </si>
  <si>
    <t>The Coca-Cola Company</t>
  </si>
  <si>
    <t>ARI</t>
  </si>
  <si>
    <t>Apollo Commercial Real Estate Finance, Inc.</t>
  </si>
  <si>
    <t>TIMB</t>
  </si>
  <si>
    <t>TIM S.A.</t>
  </si>
  <si>
    <t>NTST</t>
  </si>
  <si>
    <t>NETSTREIT Corp.</t>
  </si>
  <si>
    <t>ADC</t>
  </si>
  <si>
    <t>Agree Realty Corporation</t>
  </si>
  <si>
    <t>UE</t>
  </si>
  <si>
    <t>Urban Edge Properties</t>
  </si>
  <si>
    <t>HCSG</t>
  </si>
  <si>
    <t>Healthcare Services Group, Inc.</t>
  </si>
  <si>
    <t>EPRT</t>
  </si>
  <si>
    <t>Essential Properties Realty Trust, Inc.</t>
  </si>
  <si>
    <t>STAG</t>
  </si>
  <si>
    <t>STAG Industrial, Inc.</t>
  </si>
  <si>
    <t>CSCO</t>
  </si>
  <si>
    <t>Cisco Systems, Inc.</t>
  </si>
  <si>
    <t>AM</t>
  </si>
  <si>
    <t>Antero Midstream Corporation</t>
  </si>
  <si>
    <t>PDM</t>
  </si>
  <si>
    <t>Piedmont Realty Trust, Inc.</t>
  </si>
  <si>
    <t>AEE</t>
  </si>
  <si>
    <t>Ameren Corporation</t>
  </si>
  <si>
    <t>FAF</t>
  </si>
  <si>
    <t>First American Financial Corporation</t>
  </si>
  <si>
    <t>MCD</t>
  </si>
  <si>
    <t>McDonald's Corporation</t>
  </si>
  <si>
    <t>IPGP</t>
  </si>
  <si>
    <t>IPG Photonics Corporation</t>
  </si>
  <si>
    <t>AEP</t>
  </si>
  <si>
    <t>American Electric Power Company, Inc.</t>
  </si>
  <si>
    <t>PBF</t>
  </si>
  <si>
    <t>PBF Energy Inc.</t>
  </si>
  <si>
    <t>BDC</t>
  </si>
  <si>
    <t>Belden Inc.</t>
  </si>
  <si>
    <t>STNG</t>
  </si>
  <si>
    <t>Scorpio Tankers Inc.</t>
  </si>
  <si>
    <t>ASC</t>
  </si>
  <si>
    <t>Ardmore Shipping Corporation</t>
  </si>
  <si>
    <t>EXC</t>
  </si>
  <si>
    <t>Exelon Corporation</t>
  </si>
  <si>
    <t>ETR</t>
  </si>
  <si>
    <t>Entergy Corporation</t>
  </si>
  <si>
    <t>PCG</t>
  </si>
  <si>
    <t>PG&amp;E Corporation</t>
  </si>
  <si>
    <t>UL</t>
  </si>
  <si>
    <t>Unilever PLC</t>
  </si>
  <si>
    <t>BLX</t>
  </si>
  <si>
    <t>Banco Latinoamericano de Comercio Exterior, S. A.</t>
  </si>
  <si>
    <t>HASI</t>
  </si>
  <si>
    <t>HA Sustainable Infrastructure Capital, Inc.</t>
  </si>
  <si>
    <t>CPS</t>
  </si>
  <si>
    <t>Cooper-Standard Holdings Inc.</t>
  </si>
  <si>
    <t>AAP</t>
  </si>
  <si>
    <t>Advance Auto Parts, Inc.</t>
  </si>
  <si>
    <t>ENB</t>
  </si>
  <si>
    <t>Enbridge Inc.</t>
  </si>
  <si>
    <t>Bought</t>
  </si>
  <si>
    <t>Return</t>
  </si>
  <si>
    <t>Total Invested</t>
  </si>
  <si>
    <t>Weeks</t>
  </si>
  <si>
    <t>Avg Investment/Week</t>
  </si>
  <si>
    <t>Total Return</t>
  </si>
  <si>
    <t>ROI</t>
  </si>
  <si>
    <t>ROI w/ Avg Investment</t>
  </si>
  <si>
    <t>ROI w/ 96k</t>
  </si>
  <si>
    <t>Normal Model</t>
  </si>
  <si>
    <t>Low P/E Model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</si>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</sst>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44" fontId="0" fillId="0" borderId="0" xfId="1" applyFont="1"/>
    <xf numFmtId="164" fontId="0" fillId="0" borderId="0" xfId="1" applyNumberFormat="1" applyFont="1"/>
    <xf numFmtId="10" fontId="0" fillId="0" borderId="0" xfId="2" applyNumberFormat="1" applyFont="1"/>
    <xf numFmtId="44" fontId="0" fillId="0" borderId="0" xfId="0" applyNumberFormat="1"/>
    <xf numFmtId="9" fontId="0" fillId="0" borderId="0" xfId="2" applyFont="1"/>
    <xf numFmtId="165" fontId="0" fillId="0" borderId="0" xfId="2" applyNumberFormat="1" applyFont="1"/>
    <xf numFmtId="1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F5C0-4A4E-49A9-8A8A-4006D4CBC435}">
  <sheetPr codeName="Sheet1"/>
  <dimension ref="A1:AC291"/>
  <sheetViews>
    <sheetView workbookViewId="0">
      <selection activeCell="S256" sqref="S256"/>
    </sheetView>
  </sheetViews>
  <sheetFormatPr defaultRowHeight="15" x14ac:dyDescent="0.25"/>
  <cols>
    <col min="1" max="1" width="6.5703125" bestFit="1" customWidth="1"/>
    <col min="2" max="2" width="13.5703125" bestFit="1" customWidth="1"/>
    <col min="3" max="3" width="14.5703125" bestFit="1" customWidth="1"/>
    <col min="4" max="4" width="22.85546875" bestFit="1" customWidth="1"/>
    <col min="5" max="5" width="12.42578125" bestFit="1" customWidth="1"/>
    <col min="6" max="6" width="14.5703125" bestFit="1" customWidth="1"/>
    <col min="7" max="7" width="15.28515625" bestFit="1" customWidth="1"/>
    <col min="8" max="8" width="8" bestFit="1" customWidth="1"/>
    <col min="9" max="9" width="9.5703125" bestFit="1" customWidth="1"/>
    <col min="10" max="10" width="12.140625" bestFit="1" customWidth="1"/>
    <col min="11" max="11" width="12.42578125" bestFit="1" customWidth="1"/>
    <col min="12" max="12" width="15.42578125" bestFit="1" customWidth="1"/>
    <col min="13" max="13" width="9" bestFit="1" customWidth="1"/>
    <col min="14" max="14" width="11.5703125" bestFit="1" customWidth="1"/>
    <col min="15" max="15" width="12" bestFit="1" customWidth="1"/>
    <col min="16" max="16" width="5.7109375" bestFit="1" customWidth="1"/>
    <col min="17" max="20" width="9.42578125" bestFit="1" customWidth="1"/>
    <col min="21" max="21" width="10.42578125" bestFit="1" customWidth="1"/>
    <col min="22" max="22" width="14.7109375" bestFit="1" customWidth="1"/>
    <col min="23" max="23" width="14.42578125" bestFit="1" customWidth="1"/>
    <col min="24" max="24" width="13.85546875" bestFit="1" customWidth="1"/>
    <col min="25" max="25" width="9.5703125" bestFit="1" customWidth="1"/>
    <col min="26" max="26" width="13.140625" bestFit="1" customWidth="1"/>
    <col min="27" max="27" width="12.42578125" bestFit="1" customWidth="1"/>
    <col min="28" max="28" width="60.7109375" bestFit="1" customWidth="1"/>
    <col min="29" max="29" width="23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s="1">
        <v>45964</v>
      </c>
      <c r="D2" s="2">
        <v>45967</v>
      </c>
      <c r="E2" t="s">
        <v>31</v>
      </c>
      <c r="G2" t="s">
        <v>32</v>
      </c>
      <c r="H2">
        <v>31.13</v>
      </c>
      <c r="I2">
        <v>2.2599999999999998</v>
      </c>
      <c r="J2">
        <v>0.56000000000000005</v>
      </c>
      <c r="K2">
        <v>0.06</v>
      </c>
      <c r="L2">
        <v>833.3</v>
      </c>
      <c r="M2">
        <v>13.15</v>
      </c>
      <c r="N2">
        <v>12.76</v>
      </c>
      <c r="O2">
        <v>2060000000</v>
      </c>
      <c r="P2">
        <v>0.78</v>
      </c>
      <c r="Q2">
        <v>-4.5999999999999999E-2</v>
      </c>
      <c r="R2">
        <v>-6.0999999999999999E-2</v>
      </c>
      <c r="S2">
        <v>-5.0999999999999997E-2</v>
      </c>
      <c r="T2">
        <v>-1.9E-2</v>
      </c>
      <c r="U2">
        <v>-3.7999999999999999E-2</v>
      </c>
      <c r="V2">
        <v>-5.5E-2</v>
      </c>
      <c r="W2">
        <v>-1.9E-2</v>
      </c>
      <c r="X2">
        <v>-0.08</v>
      </c>
      <c r="Y2">
        <v>6.0999999999999999E-2</v>
      </c>
      <c r="Z2">
        <v>30.53</v>
      </c>
      <c r="AA2">
        <v>28.63</v>
      </c>
      <c r="AB2" t="s">
        <v>33</v>
      </c>
      <c r="AC2" t="s">
        <v>34</v>
      </c>
    </row>
    <row r="3" spans="1:29" x14ac:dyDescent="0.25">
      <c r="A3" t="s">
        <v>35</v>
      </c>
      <c r="B3" t="s">
        <v>36</v>
      </c>
      <c r="C3" s="1">
        <v>45964</v>
      </c>
      <c r="D3" s="2">
        <v>45964</v>
      </c>
      <c r="E3" t="s">
        <v>31</v>
      </c>
      <c r="G3" t="s">
        <v>32</v>
      </c>
      <c r="H3">
        <v>62.07</v>
      </c>
      <c r="I3">
        <v>4.2</v>
      </c>
      <c r="J3">
        <v>3.63</v>
      </c>
      <c r="K3">
        <v>3.71</v>
      </c>
      <c r="L3">
        <v>2.29</v>
      </c>
      <c r="M3">
        <v>15.38</v>
      </c>
      <c r="N3">
        <v>11.85</v>
      </c>
      <c r="O3">
        <v>34110000000</v>
      </c>
      <c r="P3">
        <v>1.26</v>
      </c>
      <c r="Q3">
        <v>3.4000000000000002E-2</v>
      </c>
      <c r="R3">
        <v>1.0999999999999999E-2</v>
      </c>
      <c r="S3">
        <v>3.2000000000000001E-2</v>
      </c>
      <c r="T3">
        <v>3.9E-2</v>
      </c>
      <c r="U3">
        <v>-1.7999999999999999E-2</v>
      </c>
      <c r="V3">
        <v>5.5E-2</v>
      </c>
      <c r="W3">
        <v>3.9E-2</v>
      </c>
      <c r="X3">
        <v>1.0999999999999999E-2</v>
      </c>
      <c r="Y3">
        <v>2.8000000000000001E-2</v>
      </c>
      <c r="Z3">
        <v>64.5</v>
      </c>
      <c r="AA3">
        <v>62.74</v>
      </c>
      <c r="AB3" t="s">
        <v>37</v>
      </c>
      <c r="AC3" t="s">
        <v>38</v>
      </c>
    </row>
    <row r="4" spans="1:29" x14ac:dyDescent="0.25">
      <c r="A4" t="s">
        <v>39</v>
      </c>
      <c r="B4" t="s">
        <v>36</v>
      </c>
      <c r="C4" s="1">
        <v>45964</v>
      </c>
      <c r="D4" s="2">
        <v>45964</v>
      </c>
      <c r="E4" t="s">
        <v>31</v>
      </c>
      <c r="G4" t="s">
        <v>40</v>
      </c>
      <c r="H4">
        <v>93.58</v>
      </c>
      <c r="I4">
        <v>2.3199999999999998</v>
      </c>
      <c r="J4">
        <v>2.11</v>
      </c>
      <c r="K4">
        <v>2.2200000000000002</v>
      </c>
      <c r="L4">
        <v>5.12</v>
      </c>
      <c r="M4">
        <v>37.799999999999997</v>
      </c>
      <c r="N4">
        <v>12.38</v>
      </c>
      <c r="O4">
        <v>8090000000</v>
      </c>
      <c r="P4">
        <v>1.36</v>
      </c>
      <c r="Q4">
        <v>-6.5000000000000002E-2</v>
      </c>
      <c r="R4">
        <v>-6.9000000000000006E-2</v>
      </c>
      <c r="S4">
        <v>-7.1999999999999995E-2</v>
      </c>
      <c r="T4">
        <v>-6.0999999999999999E-2</v>
      </c>
      <c r="U4">
        <v>-0.128</v>
      </c>
      <c r="V4">
        <v>-9.8000000000000004E-2</v>
      </c>
      <c r="W4">
        <v>-4.1000000000000002E-2</v>
      </c>
      <c r="X4">
        <v>-8.2000000000000003E-2</v>
      </c>
      <c r="Y4">
        <v>4.1000000000000002E-2</v>
      </c>
      <c r="Z4">
        <v>89.7</v>
      </c>
      <c r="AA4">
        <v>85.9</v>
      </c>
      <c r="AB4" t="s">
        <v>41</v>
      </c>
      <c r="AC4" t="s">
        <v>42</v>
      </c>
    </row>
    <row r="5" spans="1:29" x14ac:dyDescent="0.25">
      <c r="A5" t="s">
        <v>43</v>
      </c>
      <c r="B5" t="s">
        <v>30</v>
      </c>
      <c r="C5" s="1">
        <v>45964</v>
      </c>
      <c r="D5" s="2">
        <v>45964</v>
      </c>
      <c r="E5" t="s">
        <v>31</v>
      </c>
      <c r="G5" t="s">
        <v>40</v>
      </c>
      <c r="H5">
        <v>135.86000000000001</v>
      </c>
      <c r="I5">
        <v>1.46</v>
      </c>
      <c r="J5">
        <v>0.82</v>
      </c>
      <c r="K5">
        <v>0.87</v>
      </c>
      <c r="L5">
        <v>6.53</v>
      </c>
      <c r="M5">
        <v>88.42</v>
      </c>
      <c r="N5">
        <v>34.24</v>
      </c>
      <c r="O5">
        <v>4650000000</v>
      </c>
      <c r="P5">
        <v>1.58</v>
      </c>
      <c r="Q5">
        <v>-4.8000000000000001E-2</v>
      </c>
      <c r="R5">
        <v>-0.21099999999999999</v>
      </c>
      <c r="S5">
        <v>-0.23499999999999999</v>
      </c>
      <c r="T5">
        <v>-0.187</v>
      </c>
      <c r="U5">
        <v>-0.24299999999999999</v>
      </c>
      <c r="V5">
        <v>7.8E-2</v>
      </c>
      <c r="W5">
        <v>-2.5000000000000001E-2</v>
      </c>
      <c r="X5">
        <v>-0.23499999999999999</v>
      </c>
      <c r="Y5">
        <v>0.21</v>
      </c>
      <c r="Z5">
        <v>132.47999999999999</v>
      </c>
      <c r="AA5">
        <v>104</v>
      </c>
      <c r="AB5" t="s">
        <v>44</v>
      </c>
      <c r="AC5" t="s">
        <v>42</v>
      </c>
    </row>
    <row r="6" spans="1:29" x14ac:dyDescent="0.25">
      <c r="A6" t="s">
        <v>45</v>
      </c>
      <c r="B6" t="s">
        <v>30</v>
      </c>
      <c r="C6" s="1">
        <v>45964</v>
      </c>
      <c r="D6" s="2">
        <v>45964</v>
      </c>
      <c r="E6" t="s">
        <v>31</v>
      </c>
      <c r="G6" t="s">
        <v>32</v>
      </c>
      <c r="H6">
        <v>629.51</v>
      </c>
      <c r="I6">
        <v>12.61</v>
      </c>
      <c r="J6">
        <v>3.15</v>
      </c>
      <c r="K6">
        <v>3.4</v>
      </c>
      <c r="L6">
        <v>8.08</v>
      </c>
      <c r="M6">
        <v>57.24</v>
      </c>
      <c r="N6">
        <v>50.26</v>
      </c>
      <c r="O6">
        <v>57770000000</v>
      </c>
      <c r="P6">
        <v>1.67</v>
      </c>
      <c r="Q6">
        <v>0.14699999999999999</v>
      </c>
      <c r="R6">
        <v>0.13400000000000001</v>
      </c>
      <c r="S6">
        <v>0.127</v>
      </c>
      <c r="T6">
        <v>0.13400000000000001</v>
      </c>
      <c r="U6">
        <v>6.3E-2</v>
      </c>
      <c r="V6">
        <v>0</v>
      </c>
      <c r="W6">
        <v>0.14699999999999999</v>
      </c>
      <c r="X6">
        <v>0.125</v>
      </c>
      <c r="Y6">
        <v>2.1999999999999999E-2</v>
      </c>
      <c r="Z6">
        <v>722.12</v>
      </c>
      <c r="AA6">
        <v>708.45</v>
      </c>
      <c r="AB6" t="s">
        <v>46</v>
      </c>
      <c r="AC6" t="s">
        <v>47</v>
      </c>
    </row>
    <row r="7" spans="1:29" x14ac:dyDescent="0.25">
      <c r="A7" t="s">
        <v>48</v>
      </c>
      <c r="B7" t="s">
        <v>30</v>
      </c>
      <c r="C7" s="1">
        <v>45964</v>
      </c>
      <c r="D7" s="2">
        <v>45964</v>
      </c>
      <c r="E7" t="s">
        <v>31</v>
      </c>
      <c r="G7" t="s">
        <v>40</v>
      </c>
      <c r="H7">
        <v>56.49</v>
      </c>
      <c r="I7">
        <v>1.01</v>
      </c>
      <c r="J7">
        <v>0.44</v>
      </c>
      <c r="K7">
        <v>0.31</v>
      </c>
      <c r="L7">
        <v>-29.55</v>
      </c>
      <c r="M7">
        <v>54.67</v>
      </c>
      <c r="N7">
        <v>19.95</v>
      </c>
      <c r="O7">
        <v>1840000000</v>
      </c>
      <c r="P7">
        <v>1.3</v>
      </c>
      <c r="Q7">
        <v>-0.02</v>
      </c>
      <c r="R7">
        <v>-0.01</v>
      </c>
      <c r="S7">
        <v>-4.7E-2</v>
      </c>
      <c r="T7">
        <v>-6.2E-2</v>
      </c>
      <c r="U7">
        <v>-7.5999999999999998E-2</v>
      </c>
      <c r="V7">
        <v>0.33900000000000002</v>
      </c>
      <c r="W7">
        <v>7.0000000000000001E-3</v>
      </c>
      <c r="X7">
        <v>-6.2E-2</v>
      </c>
      <c r="Y7">
        <v>6.9000000000000006E-2</v>
      </c>
      <c r="Z7">
        <v>56.87</v>
      </c>
      <c r="AA7">
        <v>53</v>
      </c>
      <c r="AB7" t="s">
        <v>49</v>
      </c>
      <c r="AC7" t="s">
        <v>38</v>
      </c>
    </row>
    <row r="8" spans="1:29" x14ac:dyDescent="0.25">
      <c r="A8" t="s">
        <v>50</v>
      </c>
      <c r="B8" t="s">
        <v>30</v>
      </c>
      <c r="C8" s="1">
        <v>45964</v>
      </c>
      <c r="D8" s="2">
        <v>45964</v>
      </c>
      <c r="E8" t="s">
        <v>31</v>
      </c>
      <c r="G8" t="s">
        <v>40</v>
      </c>
      <c r="H8">
        <v>38.619999999999997</v>
      </c>
      <c r="I8">
        <v>0.82</v>
      </c>
      <c r="J8">
        <v>0.18</v>
      </c>
      <c r="K8">
        <v>0.36</v>
      </c>
      <c r="L8">
        <v>97.77</v>
      </c>
      <c r="M8">
        <v>50.6</v>
      </c>
      <c r="N8">
        <v>60.88</v>
      </c>
      <c r="O8">
        <v>3200000000</v>
      </c>
      <c r="P8">
        <v>1.1100000000000001</v>
      </c>
      <c r="Q8">
        <v>-3.0000000000000001E-3</v>
      </c>
      <c r="R8">
        <v>3.5000000000000003E-2</v>
      </c>
      <c r="S8">
        <v>4.4999999999999998E-2</v>
      </c>
      <c r="T8">
        <v>2.1999999999999999E-2</v>
      </c>
      <c r="U8">
        <v>-1.6E-2</v>
      </c>
      <c r="V8">
        <v>0.08</v>
      </c>
      <c r="W8">
        <v>0.06</v>
      </c>
      <c r="X8">
        <v>-3.0000000000000001E-3</v>
      </c>
      <c r="Y8">
        <v>6.3E-2</v>
      </c>
      <c r="Z8">
        <v>40.94</v>
      </c>
      <c r="AA8">
        <v>38.51</v>
      </c>
      <c r="AB8" t="s">
        <v>51</v>
      </c>
      <c r="AC8" t="s">
        <v>52</v>
      </c>
    </row>
    <row r="9" spans="1:29" x14ac:dyDescent="0.25">
      <c r="A9" t="s">
        <v>53</v>
      </c>
      <c r="B9" t="s">
        <v>30</v>
      </c>
      <c r="C9" s="1">
        <v>45964</v>
      </c>
      <c r="D9" s="2">
        <v>45964</v>
      </c>
      <c r="E9" t="s">
        <v>31</v>
      </c>
      <c r="G9" t="s">
        <v>40</v>
      </c>
      <c r="H9">
        <v>199.05</v>
      </c>
      <c r="I9">
        <v>8.6300000000000008</v>
      </c>
      <c r="J9">
        <v>2.0299999999999998</v>
      </c>
      <c r="K9">
        <v>2.11</v>
      </c>
      <c r="L9">
        <v>3.81</v>
      </c>
      <c r="M9">
        <v>26.2</v>
      </c>
      <c r="N9">
        <v>21.51</v>
      </c>
      <c r="O9">
        <v>1740000000</v>
      </c>
      <c r="P9">
        <v>1.07</v>
      </c>
      <c r="Q9">
        <v>0.121</v>
      </c>
      <c r="R9">
        <v>0.11899999999999999</v>
      </c>
      <c r="S9">
        <v>0.17799999999999999</v>
      </c>
      <c r="T9">
        <v>0.192</v>
      </c>
      <c r="U9">
        <v>0.11899999999999999</v>
      </c>
      <c r="V9">
        <v>0.23499999999999999</v>
      </c>
      <c r="W9">
        <v>0.23400000000000001</v>
      </c>
      <c r="X9">
        <v>0.11899999999999999</v>
      </c>
      <c r="Y9">
        <v>0.115</v>
      </c>
      <c r="Z9">
        <v>245.61</v>
      </c>
      <c r="AA9">
        <v>222.77</v>
      </c>
      <c r="AB9" t="s">
        <v>54</v>
      </c>
      <c r="AC9" t="s">
        <v>47</v>
      </c>
    </row>
    <row r="10" spans="1:29" x14ac:dyDescent="0.25">
      <c r="A10" t="s">
        <v>55</v>
      </c>
      <c r="B10" t="s">
        <v>30</v>
      </c>
      <c r="C10" s="1">
        <v>45964</v>
      </c>
      <c r="D10" s="2">
        <v>45964</v>
      </c>
      <c r="E10" t="s">
        <v>31</v>
      </c>
      <c r="G10" t="s">
        <v>40</v>
      </c>
      <c r="H10">
        <v>24.18</v>
      </c>
      <c r="I10">
        <v>2.17</v>
      </c>
      <c r="J10">
        <v>0.43</v>
      </c>
      <c r="K10">
        <v>0.41</v>
      </c>
      <c r="L10">
        <v>-4.7699999999999996</v>
      </c>
      <c r="M10">
        <v>12.26</v>
      </c>
      <c r="N10">
        <v>9.73</v>
      </c>
      <c r="O10">
        <v>20230000000</v>
      </c>
      <c r="P10">
        <v>0.31</v>
      </c>
      <c r="Q10">
        <v>0.06</v>
      </c>
      <c r="R10">
        <v>8.1000000000000003E-2</v>
      </c>
      <c r="S10">
        <v>8.2000000000000003E-2</v>
      </c>
      <c r="T10">
        <v>7.0999999999999994E-2</v>
      </c>
      <c r="U10">
        <v>7.3999999999999996E-2</v>
      </c>
      <c r="V10">
        <v>0.29699999999999999</v>
      </c>
      <c r="W10">
        <v>9.8000000000000004E-2</v>
      </c>
      <c r="X10">
        <v>5.6000000000000001E-2</v>
      </c>
      <c r="Y10">
        <v>4.2999999999999997E-2</v>
      </c>
      <c r="Z10">
        <v>26.56</v>
      </c>
      <c r="AA10">
        <v>25.53</v>
      </c>
      <c r="AB10" t="s">
        <v>56</v>
      </c>
      <c r="AC10" t="s">
        <v>34</v>
      </c>
    </row>
    <row r="11" spans="1:29" x14ac:dyDescent="0.25">
      <c r="A11" t="s">
        <v>57</v>
      </c>
      <c r="B11" t="s">
        <v>30</v>
      </c>
      <c r="C11" s="1">
        <v>45965</v>
      </c>
      <c r="D11" s="2">
        <v>45965</v>
      </c>
      <c r="E11" t="s">
        <v>31</v>
      </c>
      <c r="G11" t="s">
        <v>40</v>
      </c>
      <c r="H11">
        <v>87.48</v>
      </c>
      <c r="I11">
        <v>8.5399999999999991</v>
      </c>
      <c r="J11">
        <v>1.75</v>
      </c>
      <c r="K11">
        <v>2.0099999999999998</v>
      </c>
      <c r="L11">
        <v>14.97</v>
      </c>
      <c r="M11">
        <v>10.24</v>
      </c>
      <c r="N11">
        <v>9.8800000000000008</v>
      </c>
      <c r="O11">
        <v>4760000000</v>
      </c>
      <c r="P11">
        <v>1.1399999999999999</v>
      </c>
      <c r="Q11">
        <v>0</v>
      </c>
      <c r="R11">
        <v>-1.0999999999999999E-2</v>
      </c>
      <c r="S11">
        <v>2E-3</v>
      </c>
      <c r="T11">
        <v>-6.0000000000000001E-3</v>
      </c>
      <c r="U11">
        <v>1.6E-2</v>
      </c>
      <c r="V11">
        <v>-6.9000000000000006E-2</v>
      </c>
      <c r="W11">
        <v>1.7999999999999999E-2</v>
      </c>
      <c r="X11">
        <v>-1.0999999999999999E-2</v>
      </c>
      <c r="Y11">
        <v>2.9000000000000001E-2</v>
      </c>
      <c r="Z11">
        <v>89.06</v>
      </c>
      <c r="AA11">
        <v>86.51</v>
      </c>
      <c r="AB11" t="s">
        <v>58</v>
      </c>
      <c r="AC11" t="s">
        <v>59</v>
      </c>
    </row>
    <row r="12" spans="1:29" x14ac:dyDescent="0.25">
      <c r="A12" t="s">
        <v>60</v>
      </c>
      <c r="B12" t="s">
        <v>30</v>
      </c>
      <c r="C12" s="1">
        <v>45965</v>
      </c>
      <c r="D12" s="2">
        <v>45965</v>
      </c>
      <c r="E12" t="s">
        <v>31</v>
      </c>
      <c r="G12" t="s">
        <v>40</v>
      </c>
      <c r="H12">
        <v>17.989999999999998</v>
      </c>
      <c r="I12">
        <v>0.85</v>
      </c>
      <c r="J12">
        <v>0.01</v>
      </c>
      <c r="K12">
        <v>0.1</v>
      </c>
      <c r="L12">
        <v>1029.94</v>
      </c>
      <c r="M12">
        <v>21.26</v>
      </c>
      <c r="N12">
        <v>31.15</v>
      </c>
      <c r="O12">
        <v>365510000</v>
      </c>
      <c r="P12">
        <v>1.1200000000000001</v>
      </c>
      <c r="Q12">
        <v>-0.10299999999999999</v>
      </c>
      <c r="R12">
        <v>-0.08</v>
      </c>
      <c r="S12">
        <v>-7.3999999999999996E-2</v>
      </c>
      <c r="T12">
        <v>-9.9000000000000005E-2</v>
      </c>
      <c r="U12">
        <v>-0.14199999999999999</v>
      </c>
      <c r="V12">
        <v>0.22</v>
      </c>
      <c r="W12">
        <v>-6.3E-2</v>
      </c>
      <c r="X12">
        <v>-0.10299999999999999</v>
      </c>
      <c r="Y12">
        <v>4.1000000000000002E-2</v>
      </c>
      <c r="Z12">
        <v>16.86</v>
      </c>
      <c r="AA12">
        <v>16.13</v>
      </c>
      <c r="AB12" t="s">
        <v>61</v>
      </c>
      <c r="AC12" t="s">
        <v>38</v>
      </c>
    </row>
    <row r="13" spans="1:29" x14ac:dyDescent="0.25">
      <c r="A13" t="s">
        <v>62</v>
      </c>
      <c r="B13" t="s">
        <v>30</v>
      </c>
      <c r="C13" s="1">
        <v>45965</v>
      </c>
      <c r="D13" s="2">
        <v>45965</v>
      </c>
      <c r="E13" t="s">
        <v>31</v>
      </c>
      <c r="G13" t="s">
        <v>32</v>
      </c>
      <c r="H13">
        <v>15.85</v>
      </c>
      <c r="I13">
        <v>7.0000000000000007E-2</v>
      </c>
      <c r="J13">
        <v>7.0000000000000007E-2</v>
      </c>
      <c r="K13">
        <v>0.06</v>
      </c>
      <c r="L13">
        <v>-15.9</v>
      </c>
      <c r="M13">
        <v>269.11</v>
      </c>
      <c r="N13">
        <v>47.34</v>
      </c>
      <c r="O13">
        <v>1070000000</v>
      </c>
      <c r="P13">
        <v>0.88</v>
      </c>
      <c r="Q13">
        <v>0.13200000000000001</v>
      </c>
      <c r="R13">
        <v>8.5000000000000006E-2</v>
      </c>
      <c r="S13">
        <v>9.8000000000000004E-2</v>
      </c>
      <c r="T13">
        <v>5.8999999999999997E-2</v>
      </c>
      <c r="U13">
        <v>2.9000000000000001E-2</v>
      </c>
      <c r="V13">
        <v>-0.03</v>
      </c>
      <c r="W13">
        <v>0.13200000000000001</v>
      </c>
      <c r="X13">
        <v>5.8999999999999997E-2</v>
      </c>
      <c r="Y13">
        <v>7.2999999999999995E-2</v>
      </c>
      <c r="Z13">
        <v>17.940000000000001</v>
      </c>
      <c r="AA13">
        <v>16.79</v>
      </c>
      <c r="AB13" t="s">
        <v>63</v>
      </c>
      <c r="AC13" t="s">
        <v>64</v>
      </c>
    </row>
    <row r="14" spans="1:29" x14ac:dyDescent="0.25">
      <c r="A14" t="s">
        <v>65</v>
      </c>
      <c r="B14" t="s">
        <v>30</v>
      </c>
      <c r="C14" s="1">
        <v>45965</v>
      </c>
      <c r="D14" s="2">
        <v>45965</v>
      </c>
      <c r="E14" t="s">
        <v>31</v>
      </c>
      <c r="G14" t="s">
        <v>40</v>
      </c>
      <c r="H14">
        <v>27.68</v>
      </c>
      <c r="I14">
        <v>-1.81</v>
      </c>
      <c r="J14">
        <v>-0.18</v>
      </c>
      <c r="K14">
        <v>-0.16</v>
      </c>
      <c r="L14">
        <v>10.79</v>
      </c>
      <c r="O14">
        <v>1600000000</v>
      </c>
      <c r="P14">
        <v>2.97</v>
      </c>
      <c r="Q14">
        <v>-6.5000000000000002E-2</v>
      </c>
      <c r="R14">
        <v>-7.0999999999999994E-2</v>
      </c>
      <c r="S14">
        <v>-0.104</v>
      </c>
      <c r="T14">
        <v>-0.187</v>
      </c>
      <c r="U14">
        <v>-0.24199999999999999</v>
      </c>
      <c r="V14">
        <v>-0.32200000000000001</v>
      </c>
      <c r="W14">
        <v>-6.5000000000000002E-2</v>
      </c>
      <c r="X14">
        <v>-0.187</v>
      </c>
      <c r="Y14">
        <v>0.122</v>
      </c>
      <c r="Z14">
        <v>25.87</v>
      </c>
      <c r="AA14">
        <v>22.5</v>
      </c>
      <c r="AB14" t="s">
        <v>66</v>
      </c>
      <c r="AC14" t="s">
        <v>42</v>
      </c>
    </row>
    <row r="15" spans="1:29" x14ac:dyDescent="0.25">
      <c r="A15" t="s">
        <v>67</v>
      </c>
      <c r="B15" t="s">
        <v>30</v>
      </c>
      <c r="C15" s="1">
        <v>45965</v>
      </c>
      <c r="D15" s="2">
        <v>45965</v>
      </c>
      <c r="E15" t="s">
        <v>31</v>
      </c>
      <c r="G15" t="s">
        <v>32</v>
      </c>
      <c r="H15">
        <v>16.059999999999999</v>
      </c>
      <c r="I15">
        <v>-3.18</v>
      </c>
      <c r="J15">
        <v>0.12</v>
      </c>
      <c r="K15">
        <v>0.2</v>
      </c>
      <c r="L15">
        <v>64.67</v>
      </c>
      <c r="O15">
        <v>587280000</v>
      </c>
      <c r="P15">
        <v>0.82</v>
      </c>
      <c r="Q15">
        <v>-6.8000000000000005E-2</v>
      </c>
      <c r="R15">
        <v>-6.8000000000000005E-2</v>
      </c>
      <c r="S15">
        <v>-4.2000000000000003E-2</v>
      </c>
      <c r="T15">
        <v>-6.5000000000000002E-2</v>
      </c>
      <c r="U15">
        <v>-0.10299999999999999</v>
      </c>
      <c r="V15">
        <v>-0.16700000000000001</v>
      </c>
      <c r="W15">
        <v>-4.2000000000000003E-2</v>
      </c>
      <c r="X15">
        <v>-8.5999999999999993E-2</v>
      </c>
      <c r="Y15">
        <v>4.3999999999999997E-2</v>
      </c>
      <c r="Z15">
        <v>15.38</v>
      </c>
      <c r="AA15">
        <v>14.68</v>
      </c>
      <c r="AB15" t="s">
        <v>68</v>
      </c>
      <c r="AC15" t="s">
        <v>47</v>
      </c>
    </row>
    <row r="16" spans="1:29" x14ac:dyDescent="0.25">
      <c r="A16" t="s">
        <v>69</v>
      </c>
      <c r="B16" t="s">
        <v>30</v>
      </c>
      <c r="C16" s="1">
        <v>45965</v>
      </c>
      <c r="D16" s="2">
        <v>45965</v>
      </c>
      <c r="E16" t="s">
        <v>31</v>
      </c>
      <c r="G16" t="s">
        <v>32</v>
      </c>
      <c r="H16">
        <v>16.61</v>
      </c>
      <c r="I16">
        <v>0.08</v>
      </c>
      <c r="J16">
        <v>0.22</v>
      </c>
      <c r="K16">
        <v>0.26</v>
      </c>
      <c r="L16">
        <v>19.13</v>
      </c>
      <c r="M16">
        <v>196.3</v>
      </c>
      <c r="N16">
        <v>18.45</v>
      </c>
      <c r="O16">
        <v>4670000000</v>
      </c>
      <c r="P16">
        <v>1.82</v>
      </c>
      <c r="Q16">
        <v>-4.8000000000000001E-2</v>
      </c>
      <c r="R16">
        <v>-5.6000000000000001E-2</v>
      </c>
      <c r="S16">
        <v>-2.9000000000000001E-2</v>
      </c>
      <c r="T16">
        <v>-3.5999999999999997E-2</v>
      </c>
      <c r="U16">
        <v>-8.3000000000000004E-2</v>
      </c>
      <c r="V16">
        <v>3.1E-2</v>
      </c>
      <c r="W16">
        <v>-2.1999999999999999E-2</v>
      </c>
      <c r="X16">
        <v>-5.6000000000000001E-2</v>
      </c>
      <c r="Y16">
        <v>3.4000000000000002E-2</v>
      </c>
      <c r="Z16">
        <v>16.25</v>
      </c>
      <c r="AA16">
        <v>15.68</v>
      </c>
      <c r="AB16" t="s">
        <v>70</v>
      </c>
      <c r="AC16" t="s">
        <v>47</v>
      </c>
    </row>
    <row r="17" spans="1:29" x14ac:dyDescent="0.25">
      <c r="A17" t="s">
        <v>71</v>
      </c>
      <c r="B17" t="s">
        <v>30</v>
      </c>
      <c r="C17" s="1">
        <v>45965</v>
      </c>
      <c r="D17" s="2">
        <v>45965</v>
      </c>
      <c r="E17" t="s">
        <v>31</v>
      </c>
      <c r="G17" t="s">
        <v>32</v>
      </c>
      <c r="H17">
        <v>9.09</v>
      </c>
      <c r="I17">
        <v>0.53</v>
      </c>
      <c r="J17">
        <v>0.24</v>
      </c>
      <c r="K17">
        <v>0.16</v>
      </c>
      <c r="L17">
        <v>-32.28</v>
      </c>
      <c r="M17">
        <v>19.95</v>
      </c>
      <c r="N17">
        <v>9.6199999999999992</v>
      </c>
      <c r="O17">
        <v>1440000000</v>
      </c>
      <c r="P17">
        <v>1.78</v>
      </c>
      <c r="Q17">
        <v>0.13800000000000001</v>
      </c>
      <c r="R17">
        <v>4.4999999999999998E-2</v>
      </c>
      <c r="S17">
        <v>0.05</v>
      </c>
      <c r="T17">
        <v>2.5999999999999999E-2</v>
      </c>
      <c r="U17">
        <v>1E-3</v>
      </c>
      <c r="V17">
        <v>0.122</v>
      </c>
      <c r="W17">
        <v>0.13800000000000001</v>
      </c>
      <c r="X17">
        <v>2.5000000000000001E-2</v>
      </c>
      <c r="Y17">
        <v>0.112</v>
      </c>
      <c r="Z17">
        <v>10.34</v>
      </c>
      <c r="AA17">
        <v>9.32</v>
      </c>
      <c r="AB17" t="s">
        <v>72</v>
      </c>
      <c r="AC17" t="s">
        <v>47</v>
      </c>
    </row>
    <row r="18" spans="1:29" x14ac:dyDescent="0.25">
      <c r="A18" t="s">
        <v>73</v>
      </c>
      <c r="B18" t="s">
        <v>30</v>
      </c>
      <c r="C18" s="1">
        <v>45965</v>
      </c>
      <c r="D18" s="2">
        <v>45965</v>
      </c>
      <c r="E18" t="s">
        <v>31</v>
      </c>
      <c r="G18" t="s">
        <v>40</v>
      </c>
      <c r="H18">
        <v>41.27</v>
      </c>
      <c r="I18">
        <v>4</v>
      </c>
      <c r="J18">
        <v>0.8</v>
      </c>
      <c r="K18">
        <v>1.72</v>
      </c>
      <c r="L18">
        <v>115</v>
      </c>
      <c r="M18">
        <v>10.32</v>
      </c>
      <c r="N18">
        <v>8.18</v>
      </c>
      <c r="O18">
        <v>1190000000</v>
      </c>
      <c r="P18">
        <v>1.41</v>
      </c>
      <c r="Q18">
        <v>-6.0999999999999999E-2</v>
      </c>
      <c r="R18">
        <v>-0.104</v>
      </c>
      <c r="S18">
        <v>-6.7000000000000004E-2</v>
      </c>
      <c r="T18">
        <v>-0.08</v>
      </c>
      <c r="U18">
        <v>-9.7000000000000003E-2</v>
      </c>
      <c r="V18">
        <v>6.9000000000000006E-2</v>
      </c>
      <c r="W18">
        <v>-6.0999999999999999E-2</v>
      </c>
      <c r="X18">
        <v>-0.104</v>
      </c>
      <c r="Y18">
        <v>4.2999999999999997E-2</v>
      </c>
      <c r="Z18">
        <v>38.75</v>
      </c>
      <c r="AA18">
        <v>36.99</v>
      </c>
      <c r="AB18" t="s">
        <v>74</v>
      </c>
      <c r="AC18" t="s">
        <v>34</v>
      </c>
    </row>
    <row r="19" spans="1:29" x14ac:dyDescent="0.25">
      <c r="A19" t="s">
        <v>75</v>
      </c>
      <c r="B19" t="s">
        <v>36</v>
      </c>
      <c r="C19" s="1">
        <v>45965</v>
      </c>
      <c r="D19" s="2">
        <v>45965</v>
      </c>
      <c r="E19" t="s">
        <v>31</v>
      </c>
      <c r="G19" t="s">
        <v>32</v>
      </c>
      <c r="H19">
        <v>20.72</v>
      </c>
      <c r="I19">
        <v>-9.41</v>
      </c>
      <c r="J19">
        <v>0.14000000000000001</v>
      </c>
      <c r="K19">
        <v>-0.03</v>
      </c>
      <c r="L19">
        <v>-121.94</v>
      </c>
      <c r="N19">
        <v>11.65</v>
      </c>
      <c r="O19">
        <v>2470000000</v>
      </c>
      <c r="P19">
        <v>1.5</v>
      </c>
      <c r="Q19">
        <v>7.2999999999999995E-2</v>
      </c>
      <c r="R19">
        <v>6.7000000000000004E-2</v>
      </c>
      <c r="S19">
        <v>4.7E-2</v>
      </c>
      <c r="T19">
        <v>4.2999999999999997E-2</v>
      </c>
      <c r="U19">
        <v>5.5E-2</v>
      </c>
      <c r="V19">
        <v>-1.4E-2</v>
      </c>
      <c r="W19">
        <v>7.2999999999999995E-2</v>
      </c>
      <c r="X19">
        <v>3.7999999999999999E-2</v>
      </c>
      <c r="Y19">
        <v>3.5999999999999997E-2</v>
      </c>
      <c r="Z19">
        <v>22.24</v>
      </c>
      <c r="AA19">
        <v>21.5</v>
      </c>
      <c r="AB19" t="s">
        <v>76</v>
      </c>
      <c r="AC19" t="s">
        <v>64</v>
      </c>
    </row>
    <row r="20" spans="1:29" x14ac:dyDescent="0.25">
      <c r="A20" t="s">
        <v>77</v>
      </c>
      <c r="B20" t="s">
        <v>30</v>
      </c>
      <c r="C20" s="1">
        <v>45965</v>
      </c>
      <c r="D20" s="2">
        <v>45965</v>
      </c>
      <c r="E20" t="s">
        <v>31</v>
      </c>
      <c r="G20" t="s">
        <v>32</v>
      </c>
      <c r="H20">
        <v>27.21</v>
      </c>
      <c r="I20">
        <v>-0.82</v>
      </c>
      <c r="J20">
        <v>0.32</v>
      </c>
      <c r="K20">
        <v>0.41</v>
      </c>
      <c r="L20">
        <v>30.36</v>
      </c>
      <c r="N20">
        <v>16.12</v>
      </c>
      <c r="O20">
        <v>26630000000</v>
      </c>
      <c r="P20">
        <v>0.79</v>
      </c>
      <c r="Q20">
        <v>3.2000000000000001E-2</v>
      </c>
      <c r="R20">
        <v>3.5000000000000003E-2</v>
      </c>
      <c r="S20">
        <v>7.8E-2</v>
      </c>
      <c r="T20">
        <v>6.3E-2</v>
      </c>
      <c r="U20">
        <v>0.01</v>
      </c>
      <c r="V20">
        <v>0.14799999999999999</v>
      </c>
      <c r="W20">
        <v>0.08</v>
      </c>
      <c r="X20">
        <v>3.2000000000000001E-2</v>
      </c>
      <c r="Y20">
        <v>4.8000000000000001E-2</v>
      </c>
      <c r="Z20">
        <v>29.38</v>
      </c>
      <c r="AA20">
        <v>28.07</v>
      </c>
      <c r="AB20" t="s">
        <v>78</v>
      </c>
      <c r="AC20" t="s">
        <v>47</v>
      </c>
    </row>
    <row r="21" spans="1:29" x14ac:dyDescent="0.25">
      <c r="A21" t="s">
        <v>79</v>
      </c>
      <c r="B21" t="s">
        <v>30</v>
      </c>
      <c r="C21" s="1">
        <v>45965</v>
      </c>
      <c r="D21" s="2">
        <v>45965</v>
      </c>
      <c r="E21" t="s">
        <v>31</v>
      </c>
      <c r="G21" t="s">
        <v>32</v>
      </c>
      <c r="H21">
        <v>240.11</v>
      </c>
      <c r="I21">
        <v>3.79</v>
      </c>
      <c r="J21">
        <v>2.34</v>
      </c>
      <c r="K21">
        <v>4.24</v>
      </c>
      <c r="L21">
        <v>81.040000000000006</v>
      </c>
      <c r="M21">
        <v>61.96</v>
      </c>
      <c r="N21">
        <v>23.65</v>
      </c>
      <c r="O21">
        <v>3170000000</v>
      </c>
      <c r="P21">
        <v>3.9</v>
      </c>
      <c r="Q21">
        <v>1.4E-2</v>
      </c>
      <c r="R21">
        <v>-1.9E-2</v>
      </c>
      <c r="S21">
        <v>5.0000000000000001E-3</v>
      </c>
      <c r="T21">
        <v>-9.9000000000000005E-2</v>
      </c>
      <c r="U21">
        <v>-0.20699999999999999</v>
      </c>
      <c r="V21">
        <v>-0.26200000000000001</v>
      </c>
      <c r="W21">
        <v>2.9000000000000001E-2</v>
      </c>
      <c r="X21">
        <v>-9.9000000000000005E-2</v>
      </c>
      <c r="Y21">
        <v>0.128</v>
      </c>
      <c r="Z21">
        <v>246.98</v>
      </c>
      <c r="AA21">
        <v>216.24</v>
      </c>
      <c r="AB21" t="s">
        <v>80</v>
      </c>
      <c r="AC21" t="s">
        <v>42</v>
      </c>
    </row>
    <row r="22" spans="1:29" x14ac:dyDescent="0.25">
      <c r="A22" t="s">
        <v>81</v>
      </c>
      <c r="B22" t="s">
        <v>30</v>
      </c>
      <c r="C22" s="1">
        <v>45965</v>
      </c>
      <c r="D22" s="2">
        <v>45965</v>
      </c>
      <c r="E22" t="s">
        <v>31</v>
      </c>
      <c r="G22" t="s">
        <v>40</v>
      </c>
      <c r="H22">
        <v>42.83</v>
      </c>
      <c r="I22">
        <v>1.05</v>
      </c>
      <c r="J22">
        <v>0.56999999999999995</v>
      </c>
      <c r="K22">
        <v>0.62</v>
      </c>
      <c r="L22">
        <v>8.14</v>
      </c>
      <c r="M22">
        <v>41.01</v>
      </c>
      <c r="N22">
        <v>16.91</v>
      </c>
      <c r="O22">
        <v>1540000000</v>
      </c>
      <c r="P22">
        <v>1.05</v>
      </c>
      <c r="Q22">
        <v>8.5999999999999993E-2</v>
      </c>
      <c r="R22">
        <v>2.5999999999999999E-2</v>
      </c>
      <c r="S22">
        <v>4.8000000000000001E-2</v>
      </c>
      <c r="T22">
        <v>5.0000000000000001E-3</v>
      </c>
      <c r="U22">
        <v>-1.2E-2</v>
      </c>
      <c r="V22">
        <v>0.38300000000000001</v>
      </c>
      <c r="W22">
        <v>8.5999999999999993E-2</v>
      </c>
      <c r="X22">
        <v>5.0000000000000001E-3</v>
      </c>
      <c r="Y22">
        <v>8.1000000000000003E-2</v>
      </c>
      <c r="Z22">
        <v>46.52</v>
      </c>
      <c r="AA22">
        <v>43.03</v>
      </c>
      <c r="AB22" t="s">
        <v>82</v>
      </c>
      <c r="AC22" t="s">
        <v>42</v>
      </c>
    </row>
    <row r="23" spans="1:29" x14ac:dyDescent="0.25">
      <c r="A23" t="s">
        <v>83</v>
      </c>
      <c r="B23" t="s">
        <v>30</v>
      </c>
      <c r="C23" s="1">
        <v>45965</v>
      </c>
      <c r="D23" s="2">
        <v>45965</v>
      </c>
      <c r="E23" t="s">
        <v>31</v>
      </c>
      <c r="G23" t="s">
        <v>40</v>
      </c>
      <c r="H23">
        <v>35.92</v>
      </c>
      <c r="I23">
        <v>0.89</v>
      </c>
      <c r="J23">
        <v>0.56000000000000005</v>
      </c>
      <c r="K23">
        <v>-0.17</v>
      </c>
      <c r="L23">
        <v>-130.25</v>
      </c>
      <c r="M23">
        <v>40.78</v>
      </c>
      <c r="N23">
        <v>15.92</v>
      </c>
      <c r="O23">
        <v>3140000000</v>
      </c>
      <c r="P23">
        <v>1.22</v>
      </c>
      <c r="Q23">
        <v>-6.5000000000000002E-2</v>
      </c>
      <c r="R23">
        <v>-6.9000000000000006E-2</v>
      </c>
      <c r="S23">
        <v>-5.8999999999999997E-2</v>
      </c>
      <c r="T23">
        <v>-0.08</v>
      </c>
      <c r="U23">
        <v>-7.2999999999999995E-2</v>
      </c>
      <c r="V23">
        <v>0.4</v>
      </c>
      <c r="W23">
        <v>-5.5E-2</v>
      </c>
      <c r="X23">
        <v>-0.08</v>
      </c>
      <c r="Y23">
        <v>2.5000000000000001E-2</v>
      </c>
      <c r="Z23">
        <v>33.94</v>
      </c>
      <c r="AA23">
        <v>33.04</v>
      </c>
      <c r="AB23" t="s">
        <v>84</v>
      </c>
      <c r="AC23" t="s">
        <v>34</v>
      </c>
    </row>
    <row r="24" spans="1:29" x14ac:dyDescent="0.25">
      <c r="A24" t="s">
        <v>85</v>
      </c>
      <c r="B24" t="s">
        <v>30</v>
      </c>
      <c r="C24" s="1">
        <v>45965</v>
      </c>
      <c r="D24" s="2">
        <v>45965</v>
      </c>
      <c r="E24" t="s">
        <v>31</v>
      </c>
      <c r="G24" t="s">
        <v>40</v>
      </c>
      <c r="H24">
        <v>20.71</v>
      </c>
      <c r="I24">
        <v>1.22</v>
      </c>
      <c r="J24">
        <v>0.54</v>
      </c>
      <c r="K24">
        <v>0.72</v>
      </c>
      <c r="L24">
        <v>34.31</v>
      </c>
      <c r="M24">
        <v>22.6</v>
      </c>
      <c r="N24">
        <v>11.05</v>
      </c>
      <c r="O24">
        <v>2570000000</v>
      </c>
      <c r="P24">
        <v>0.52</v>
      </c>
      <c r="Q24">
        <v>0.32600000000000001</v>
      </c>
      <c r="R24">
        <v>0.33300000000000002</v>
      </c>
      <c r="S24">
        <v>0.35399999999999998</v>
      </c>
      <c r="T24">
        <v>0.30299999999999999</v>
      </c>
      <c r="U24">
        <v>0.29399999999999998</v>
      </c>
      <c r="V24">
        <v>0.62</v>
      </c>
      <c r="W24">
        <v>0.36599999999999999</v>
      </c>
      <c r="X24">
        <v>0.30299999999999999</v>
      </c>
      <c r="Y24">
        <v>6.4000000000000001E-2</v>
      </c>
      <c r="Z24">
        <v>28.3</v>
      </c>
      <c r="AA24">
        <v>26.98</v>
      </c>
      <c r="AB24" t="s">
        <v>86</v>
      </c>
      <c r="AC24" t="s">
        <v>42</v>
      </c>
    </row>
    <row r="25" spans="1:29" x14ac:dyDescent="0.25">
      <c r="A25" t="s">
        <v>87</v>
      </c>
      <c r="B25" t="s">
        <v>88</v>
      </c>
      <c r="C25" s="1">
        <v>45965</v>
      </c>
      <c r="D25" s="2">
        <v>45965</v>
      </c>
      <c r="E25" t="s">
        <v>31</v>
      </c>
      <c r="G25" t="s">
        <v>40</v>
      </c>
      <c r="H25">
        <v>24.21</v>
      </c>
      <c r="I25">
        <v>0.09</v>
      </c>
      <c r="J25">
        <v>0.28000000000000003</v>
      </c>
      <c r="K25">
        <v>0.43</v>
      </c>
      <c r="L25">
        <v>50.88</v>
      </c>
      <c r="M25">
        <v>266.04000000000002</v>
      </c>
      <c r="N25">
        <v>7.45</v>
      </c>
      <c r="O25">
        <v>309940000</v>
      </c>
      <c r="P25">
        <v>0.91</v>
      </c>
      <c r="Q25">
        <v>4.0000000000000001E-3</v>
      </c>
      <c r="R25">
        <v>-5.8000000000000003E-2</v>
      </c>
      <c r="S25">
        <v>-6.0999999999999999E-2</v>
      </c>
      <c r="T25">
        <v>-0.09</v>
      </c>
      <c r="U25">
        <v>-0.13800000000000001</v>
      </c>
      <c r="V25">
        <v>3.1E-2</v>
      </c>
      <c r="W25">
        <v>4.0000000000000001E-3</v>
      </c>
      <c r="X25">
        <v>-0.09</v>
      </c>
      <c r="Y25">
        <v>9.4E-2</v>
      </c>
      <c r="Z25">
        <v>24.3</v>
      </c>
      <c r="AA25">
        <v>22.02</v>
      </c>
      <c r="AB25" t="s">
        <v>89</v>
      </c>
      <c r="AC25" t="s">
        <v>42</v>
      </c>
    </row>
    <row r="26" spans="1:29" x14ac:dyDescent="0.25">
      <c r="A26" t="s">
        <v>90</v>
      </c>
      <c r="B26" t="s">
        <v>30</v>
      </c>
      <c r="C26" s="1">
        <v>45965</v>
      </c>
      <c r="D26" s="2">
        <v>45965</v>
      </c>
      <c r="E26" t="s">
        <v>31</v>
      </c>
      <c r="G26" t="s">
        <v>32</v>
      </c>
      <c r="H26">
        <v>13.17</v>
      </c>
      <c r="I26">
        <v>0.56000000000000005</v>
      </c>
      <c r="J26">
        <v>0.16</v>
      </c>
      <c r="K26">
        <v>0.23</v>
      </c>
      <c r="L26">
        <v>43.75</v>
      </c>
      <c r="M26">
        <v>26.04</v>
      </c>
      <c r="N26">
        <v>15.63</v>
      </c>
      <c r="O26">
        <v>1930000000</v>
      </c>
      <c r="P26">
        <v>1.44</v>
      </c>
      <c r="Q26">
        <v>9.7000000000000003E-2</v>
      </c>
      <c r="R26">
        <v>0.109</v>
      </c>
      <c r="S26">
        <v>0.191</v>
      </c>
      <c r="T26">
        <v>0.156</v>
      </c>
      <c r="U26">
        <v>0.17699999999999999</v>
      </c>
      <c r="V26">
        <v>0.08</v>
      </c>
      <c r="W26">
        <v>0.191</v>
      </c>
      <c r="X26">
        <v>5.8999999999999997E-2</v>
      </c>
      <c r="Y26">
        <v>0.13100000000000001</v>
      </c>
      <c r="Z26">
        <v>15.68</v>
      </c>
      <c r="AA26">
        <v>13.95</v>
      </c>
      <c r="AB26" t="s">
        <v>91</v>
      </c>
      <c r="AC26" t="s">
        <v>47</v>
      </c>
    </row>
    <row r="27" spans="1:29" x14ac:dyDescent="0.25">
      <c r="A27" t="s">
        <v>92</v>
      </c>
      <c r="B27" t="s">
        <v>30</v>
      </c>
      <c r="C27" s="1">
        <v>45965</v>
      </c>
      <c r="D27" s="2">
        <v>45965</v>
      </c>
      <c r="E27" t="s">
        <v>31</v>
      </c>
      <c r="G27" t="s">
        <v>40</v>
      </c>
      <c r="H27">
        <v>30.76</v>
      </c>
      <c r="I27">
        <v>4.24</v>
      </c>
      <c r="J27">
        <v>0.72</v>
      </c>
      <c r="K27">
        <v>1.5</v>
      </c>
      <c r="L27">
        <v>108.33</v>
      </c>
      <c r="M27">
        <v>8.33</v>
      </c>
      <c r="N27">
        <v>10.55</v>
      </c>
      <c r="O27">
        <v>901420000</v>
      </c>
      <c r="P27">
        <v>0.44</v>
      </c>
      <c r="Q27">
        <v>0.14699999999999999</v>
      </c>
      <c r="R27">
        <v>0.14299999999999999</v>
      </c>
      <c r="S27">
        <v>0.185</v>
      </c>
      <c r="T27">
        <v>0.186</v>
      </c>
      <c r="U27">
        <v>0.19700000000000001</v>
      </c>
      <c r="V27">
        <v>0.27900000000000003</v>
      </c>
      <c r="W27">
        <v>0.19800000000000001</v>
      </c>
      <c r="X27">
        <v>0.13800000000000001</v>
      </c>
      <c r="Y27">
        <v>6.0999999999999999E-2</v>
      </c>
      <c r="Z27">
        <v>36.869999999999997</v>
      </c>
      <c r="AA27">
        <v>34.99</v>
      </c>
      <c r="AB27" t="s">
        <v>93</v>
      </c>
      <c r="AC27" t="s">
        <v>94</v>
      </c>
    </row>
    <row r="28" spans="1:29" x14ac:dyDescent="0.25">
      <c r="A28" t="s">
        <v>95</v>
      </c>
      <c r="B28" t="s">
        <v>30</v>
      </c>
      <c r="C28" s="1">
        <v>45965</v>
      </c>
      <c r="D28" s="2">
        <v>45965</v>
      </c>
      <c r="E28" t="s">
        <v>31</v>
      </c>
      <c r="G28" t="s">
        <v>32</v>
      </c>
      <c r="H28">
        <v>263.27</v>
      </c>
      <c r="I28">
        <v>9.4700000000000006</v>
      </c>
      <c r="J28">
        <v>2.39</v>
      </c>
      <c r="K28">
        <v>2.4700000000000002</v>
      </c>
      <c r="L28">
        <v>3.46</v>
      </c>
      <c r="M28">
        <v>30.75</v>
      </c>
      <c r="N28">
        <v>25.77</v>
      </c>
      <c r="O28">
        <v>78130000000</v>
      </c>
      <c r="P28">
        <v>1.1499999999999999</v>
      </c>
      <c r="Q28">
        <v>7.2999999999999995E-2</v>
      </c>
      <c r="R28">
        <v>0.10299999999999999</v>
      </c>
      <c r="S28">
        <v>0.106</v>
      </c>
      <c r="T28">
        <v>8.8999999999999996E-2</v>
      </c>
      <c r="U28">
        <v>7.1999999999999995E-2</v>
      </c>
      <c r="V28">
        <v>0.34399999999999997</v>
      </c>
      <c r="W28">
        <v>0.106</v>
      </c>
      <c r="X28">
        <v>6.5000000000000002E-2</v>
      </c>
      <c r="Y28">
        <v>4.1000000000000002E-2</v>
      </c>
      <c r="Z28">
        <v>291.20999999999998</v>
      </c>
      <c r="AA28">
        <v>280.48</v>
      </c>
      <c r="AB28" t="s">
        <v>96</v>
      </c>
      <c r="AC28" t="s">
        <v>64</v>
      </c>
    </row>
    <row r="29" spans="1:29" x14ac:dyDescent="0.25">
      <c r="A29" t="s">
        <v>97</v>
      </c>
      <c r="B29" t="s">
        <v>30</v>
      </c>
      <c r="C29" s="1">
        <v>45965</v>
      </c>
      <c r="D29" s="2">
        <v>45965</v>
      </c>
      <c r="E29" t="s">
        <v>31</v>
      </c>
      <c r="G29" t="s">
        <v>32</v>
      </c>
      <c r="H29">
        <v>6.56</v>
      </c>
      <c r="I29">
        <v>0.11</v>
      </c>
      <c r="J29">
        <v>0.12</v>
      </c>
      <c r="K29">
        <v>0.15</v>
      </c>
      <c r="L29">
        <v>30.43</v>
      </c>
      <c r="M29">
        <v>66.34</v>
      </c>
      <c r="N29">
        <v>10.35</v>
      </c>
      <c r="O29">
        <v>616590000</v>
      </c>
      <c r="P29">
        <v>0.77</v>
      </c>
      <c r="Q29">
        <v>0.125</v>
      </c>
      <c r="R29">
        <v>0.13600000000000001</v>
      </c>
      <c r="S29">
        <v>0.17399999999999999</v>
      </c>
      <c r="T29">
        <v>0.154</v>
      </c>
      <c r="U29">
        <v>6.6000000000000003E-2</v>
      </c>
      <c r="V29">
        <v>0.26100000000000001</v>
      </c>
      <c r="W29">
        <v>0.17399999999999999</v>
      </c>
      <c r="X29">
        <v>0.125</v>
      </c>
      <c r="Y29">
        <v>4.9000000000000002E-2</v>
      </c>
      <c r="Z29">
        <v>7.7</v>
      </c>
      <c r="AA29">
        <v>7.38</v>
      </c>
      <c r="AB29" t="s">
        <v>98</v>
      </c>
      <c r="AC29" t="s">
        <v>47</v>
      </c>
    </row>
    <row r="30" spans="1:29" x14ac:dyDescent="0.25">
      <c r="A30" t="s">
        <v>99</v>
      </c>
      <c r="B30" t="s">
        <v>30</v>
      </c>
      <c r="C30" s="1">
        <v>45965</v>
      </c>
      <c r="D30" s="2">
        <v>45965</v>
      </c>
      <c r="E30" t="s">
        <v>31</v>
      </c>
      <c r="G30" t="s">
        <v>40</v>
      </c>
      <c r="H30">
        <v>23.59</v>
      </c>
      <c r="I30">
        <v>4.3899999999999997</v>
      </c>
      <c r="J30">
        <v>0.67</v>
      </c>
      <c r="K30">
        <v>1.2</v>
      </c>
      <c r="L30">
        <v>78.61</v>
      </c>
      <c r="M30">
        <v>5.95</v>
      </c>
      <c r="N30">
        <v>6.24</v>
      </c>
      <c r="O30">
        <v>2570000000</v>
      </c>
      <c r="P30">
        <v>0.66</v>
      </c>
      <c r="Q30">
        <v>0.10199999999999999</v>
      </c>
      <c r="R30">
        <v>0.106</v>
      </c>
      <c r="S30">
        <v>0.113</v>
      </c>
      <c r="T30">
        <v>0.111</v>
      </c>
      <c r="U30">
        <v>0.113</v>
      </c>
      <c r="V30">
        <v>0.31</v>
      </c>
      <c r="W30">
        <v>0.123</v>
      </c>
      <c r="X30">
        <v>8.8999999999999996E-2</v>
      </c>
      <c r="Y30">
        <v>3.5000000000000003E-2</v>
      </c>
      <c r="Z30">
        <v>26.5</v>
      </c>
      <c r="AA30">
        <v>25.68</v>
      </c>
      <c r="AB30" t="s">
        <v>100</v>
      </c>
      <c r="AC30" t="s">
        <v>94</v>
      </c>
    </row>
    <row r="31" spans="1:29" x14ac:dyDescent="0.25">
      <c r="A31" t="s">
        <v>101</v>
      </c>
      <c r="B31" t="s">
        <v>30</v>
      </c>
      <c r="C31" s="1">
        <v>45965</v>
      </c>
      <c r="D31" s="2">
        <v>45965</v>
      </c>
      <c r="E31" t="s">
        <v>31</v>
      </c>
      <c r="G31" t="s">
        <v>40</v>
      </c>
      <c r="H31">
        <v>13.81</v>
      </c>
      <c r="I31">
        <v>-0.03</v>
      </c>
      <c r="J31">
        <v>0.35</v>
      </c>
      <c r="K31">
        <v>0.37</v>
      </c>
      <c r="L31">
        <v>5.8</v>
      </c>
      <c r="N31">
        <v>42.86</v>
      </c>
      <c r="O31">
        <v>1660000000</v>
      </c>
      <c r="P31">
        <v>1.28</v>
      </c>
      <c r="Q31">
        <v>1.2999999999999999E-2</v>
      </c>
      <c r="R31">
        <v>-1.7999999999999999E-2</v>
      </c>
      <c r="S31">
        <v>-5.0000000000000001E-3</v>
      </c>
      <c r="T31">
        <v>2E-3</v>
      </c>
      <c r="U31">
        <v>-0.02</v>
      </c>
      <c r="V31">
        <v>-0.20599999999999999</v>
      </c>
      <c r="W31">
        <v>1.2999999999999999E-2</v>
      </c>
      <c r="X31">
        <v>-0.02</v>
      </c>
      <c r="Y31">
        <v>3.3000000000000002E-2</v>
      </c>
      <c r="Z31">
        <v>13.99</v>
      </c>
      <c r="AA31">
        <v>13.54</v>
      </c>
      <c r="AB31" t="s">
        <v>102</v>
      </c>
      <c r="AC31" t="s">
        <v>42</v>
      </c>
    </row>
    <row r="32" spans="1:29" x14ac:dyDescent="0.25">
      <c r="A32" t="s">
        <v>103</v>
      </c>
      <c r="B32" t="s">
        <v>30</v>
      </c>
      <c r="C32" s="1">
        <v>45965</v>
      </c>
      <c r="D32" s="2">
        <v>45965</v>
      </c>
      <c r="E32" t="s">
        <v>31</v>
      </c>
      <c r="G32" t="s">
        <v>32</v>
      </c>
      <c r="H32">
        <v>412.35</v>
      </c>
      <c r="I32">
        <v>-13.01</v>
      </c>
      <c r="J32">
        <v>-2.4900000000000002</v>
      </c>
      <c r="K32">
        <v>-5.08</v>
      </c>
      <c r="L32">
        <v>-104.34</v>
      </c>
      <c r="N32">
        <v>134.80000000000001</v>
      </c>
      <c r="O32">
        <v>11110000000</v>
      </c>
      <c r="P32">
        <v>-1.03</v>
      </c>
      <c r="Q32">
        <v>0.154</v>
      </c>
      <c r="R32">
        <v>0.187</v>
      </c>
      <c r="S32">
        <v>0.313</v>
      </c>
      <c r="T32">
        <v>0.249</v>
      </c>
      <c r="U32">
        <v>0.35599999999999998</v>
      </c>
      <c r="V32">
        <v>0.127</v>
      </c>
      <c r="W32">
        <v>0.313</v>
      </c>
      <c r="X32">
        <v>0.154</v>
      </c>
      <c r="Y32">
        <v>0.159</v>
      </c>
      <c r="Z32">
        <v>541.5</v>
      </c>
      <c r="AA32">
        <v>475.87</v>
      </c>
      <c r="AB32" t="s">
        <v>104</v>
      </c>
      <c r="AC32" t="s">
        <v>47</v>
      </c>
    </row>
    <row r="33" spans="1:29" x14ac:dyDescent="0.25">
      <c r="A33" t="s">
        <v>105</v>
      </c>
      <c r="B33" t="s">
        <v>30</v>
      </c>
      <c r="C33" s="1">
        <v>45965</v>
      </c>
      <c r="D33" s="2">
        <v>45965</v>
      </c>
      <c r="E33" t="s">
        <v>31</v>
      </c>
      <c r="G33" t="s">
        <v>32</v>
      </c>
      <c r="H33">
        <v>48.83</v>
      </c>
      <c r="I33">
        <v>4.72</v>
      </c>
      <c r="J33">
        <v>1.08</v>
      </c>
      <c r="K33">
        <v>1.52</v>
      </c>
      <c r="L33">
        <v>41.38</v>
      </c>
      <c r="M33">
        <v>10.87</v>
      </c>
      <c r="N33">
        <v>11.39</v>
      </c>
      <c r="O33">
        <v>52140000000</v>
      </c>
      <c r="P33">
        <v>0.54</v>
      </c>
      <c r="Q33">
        <v>1.4E-2</v>
      </c>
      <c r="R33">
        <v>0.03</v>
      </c>
      <c r="S33">
        <v>4.4999999999999998E-2</v>
      </c>
      <c r="T33">
        <v>4.2999999999999997E-2</v>
      </c>
      <c r="U33">
        <v>6.2E-2</v>
      </c>
      <c r="V33">
        <v>0.16400000000000001</v>
      </c>
      <c r="W33">
        <v>5.3999999999999999E-2</v>
      </c>
      <c r="X33">
        <v>1.2999999999999999E-2</v>
      </c>
      <c r="Y33">
        <v>4.1000000000000002E-2</v>
      </c>
      <c r="Z33">
        <v>51.46</v>
      </c>
      <c r="AA33">
        <v>49.48</v>
      </c>
      <c r="AB33" t="s">
        <v>106</v>
      </c>
      <c r="AC33" t="s">
        <v>34</v>
      </c>
    </row>
    <row r="34" spans="1:29" x14ac:dyDescent="0.25">
      <c r="A34" t="s">
        <v>107</v>
      </c>
      <c r="B34" t="s">
        <v>30</v>
      </c>
      <c r="C34" s="1">
        <v>45965</v>
      </c>
      <c r="D34" s="2">
        <v>45965</v>
      </c>
      <c r="E34" t="s">
        <v>31</v>
      </c>
      <c r="G34" t="s">
        <v>32</v>
      </c>
      <c r="H34">
        <v>121.82</v>
      </c>
      <c r="I34">
        <v>6.14</v>
      </c>
      <c r="J34">
        <v>1.39</v>
      </c>
      <c r="K34">
        <v>1.64</v>
      </c>
      <c r="L34">
        <v>17.600000000000001</v>
      </c>
      <c r="M34">
        <v>22.37</v>
      </c>
      <c r="N34">
        <v>23.23</v>
      </c>
      <c r="O34">
        <v>18420000000</v>
      </c>
      <c r="P34">
        <v>1.1299999999999999</v>
      </c>
      <c r="Q34">
        <v>0.126</v>
      </c>
      <c r="R34">
        <v>0.122</v>
      </c>
      <c r="S34">
        <v>0.13900000000000001</v>
      </c>
      <c r="T34">
        <v>0.13</v>
      </c>
      <c r="U34">
        <v>0.14199999999999999</v>
      </c>
      <c r="V34">
        <v>0.20300000000000001</v>
      </c>
      <c r="W34">
        <v>0.14899999999999999</v>
      </c>
      <c r="X34">
        <v>9.9000000000000005E-2</v>
      </c>
      <c r="Y34">
        <v>0.05</v>
      </c>
      <c r="Z34">
        <v>139.94</v>
      </c>
      <c r="AA34">
        <v>133.83000000000001</v>
      </c>
      <c r="AB34" t="s">
        <v>108</v>
      </c>
      <c r="AC34" t="s">
        <v>38</v>
      </c>
    </row>
    <row r="35" spans="1:29" x14ac:dyDescent="0.25">
      <c r="A35" t="s">
        <v>109</v>
      </c>
      <c r="B35" t="s">
        <v>30</v>
      </c>
      <c r="C35" s="1">
        <v>45965</v>
      </c>
      <c r="D35" s="2">
        <v>45965</v>
      </c>
      <c r="E35" t="s">
        <v>31</v>
      </c>
      <c r="G35" t="s">
        <v>40</v>
      </c>
      <c r="H35">
        <v>3.52</v>
      </c>
      <c r="I35">
        <v>-0.09</v>
      </c>
      <c r="J35">
        <v>0.02</v>
      </c>
      <c r="K35">
        <v>0</v>
      </c>
      <c r="L35">
        <v>-83.5</v>
      </c>
      <c r="N35">
        <v>83.79</v>
      </c>
      <c r="O35">
        <v>1800000000</v>
      </c>
      <c r="P35">
        <v>2.2200000000000002</v>
      </c>
      <c r="Q35">
        <v>-0.158</v>
      </c>
      <c r="R35">
        <v>-0.24099999999999999</v>
      </c>
      <c r="S35">
        <v>-0.27600000000000002</v>
      </c>
      <c r="T35">
        <v>-0.29799999999999999</v>
      </c>
      <c r="U35">
        <v>-0.33200000000000002</v>
      </c>
      <c r="V35">
        <v>-0.42599999999999999</v>
      </c>
      <c r="W35">
        <v>-0.158</v>
      </c>
      <c r="X35">
        <v>-0.29799999999999999</v>
      </c>
      <c r="Y35">
        <v>0.14099999999999999</v>
      </c>
      <c r="Z35">
        <v>2.96</v>
      </c>
      <c r="AA35">
        <v>2.4700000000000002</v>
      </c>
      <c r="AB35" t="s">
        <v>110</v>
      </c>
      <c r="AC35" t="s">
        <v>47</v>
      </c>
    </row>
    <row r="36" spans="1:29" x14ac:dyDescent="0.25">
      <c r="A36" t="s">
        <v>111</v>
      </c>
      <c r="B36" t="s">
        <v>30</v>
      </c>
      <c r="C36" s="1">
        <v>45965</v>
      </c>
      <c r="D36" s="2">
        <v>45965</v>
      </c>
      <c r="E36" t="s">
        <v>31</v>
      </c>
      <c r="G36" t="s">
        <v>32</v>
      </c>
      <c r="H36">
        <v>422.5</v>
      </c>
      <c r="I36">
        <v>20.3</v>
      </c>
      <c r="J36">
        <v>5.18</v>
      </c>
      <c r="K36">
        <v>5.04</v>
      </c>
      <c r="L36">
        <v>-2.63</v>
      </c>
      <c r="M36">
        <v>20.64</v>
      </c>
      <c r="N36">
        <v>19.34</v>
      </c>
      <c r="O36">
        <v>11790000000</v>
      </c>
      <c r="P36">
        <v>1.68</v>
      </c>
      <c r="Q36">
        <v>-0.04</v>
      </c>
      <c r="R36">
        <v>0</v>
      </c>
      <c r="S36">
        <v>2.5999999999999999E-2</v>
      </c>
      <c r="T36">
        <v>5.0000000000000001E-3</v>
      </c>
      <c r="U36">
        <v>-2.5000000000000001E-2</v>
      </c>
      <c r="V36">
        <v>0.30399999999999999</v>
      </c>
      <c r="W36">
        <v>4.1000000000000002E-2</v>
      </c>
      <c r="X36">
        <v>-0.04</v>
      </c>
      <c r="Y36">
        <v>8.1000000000000003E-2</v>
      </c>
      <c r="Z36">
        <v>439.97</v>
      </c>
      <c r="AA36">
        <v>405.63</v>
      </c>
      <c r="AB36" t="s">
        <v>112</v>
      </c>
      <c r="AC36" t="s">
        <v>38</v>
      </c>
    </row>
    <row r="37" spans="1:29" x14ac:dyDescent="0.25">
      <c r="A37" t="s">
        <v>113</v>
      </c>
      <c r="B37" t="s">
        <v>30</v>
      </c>
      <c r="C37" s="1">
        <v>45966</v>
      </c>
      <c r="D37" s="2">
        <v>45966</v>
      </c>
      <c r="E37" t="s">
        <v>31</v>
      </c>
      <c r="G37" t="s">
        <v>32</v>
      </c>
      <c r="H37">
        <v>280.91000000000003</v>
      </c>
      <c r="I37">
        <v>13.03</v>
      </c>
      <c r="J37">
        <v>2.83</v>
      </c>
      <c r="K37">
        <v>3.24</v>
      </c>
      <c r="L37">
        <v>14.64</v>
      </c>
      <c r="M37">
        <v>21.63</v>
      </c>
      <c r="N37">
        <v>20.81</v>
      </c>
      <c r="O37">
        <v>33900000000</v>
      </c>
      <c r="P37">
        <v>0.45</v>
      </c>
      <c r="Q37">
        <v>-0.109</v>
      </c>
      <c r="R37">
        <v>-0.154</v>
      </c>
      <c r="S37">
        <v>-0.14699999999999999</v>
      </c>
      <c r="T37">
        <v>-0.159</v>
      </c>
      <c r="U37">
        <v>-0.188</v>
      </c>
      <c r="V37">
        <v>-0.34499999999999997</v>
      </c>
      <c r="W37">
        <v>-0.106</v>
      </c>
      <c r="X37">
        <v>-0.16</v>
      </c>
      <c r="Y37">
        <v>5.3999999999999999E-2</v>
      </c>
      <c r="Z37">
        <v>251.18</v>
      </c>
      <c r="AA37">
        <v>235.93</v>
      </c>
      <c r="AB37" t="s">
        <v>114</v>
      </c>
      <c r="AC37" t="s">
        <v>47</v>
      </c>
    </row>
    <row r="38" spans="1:29" x14ac:dyDescent="0.25">
      <c r="A38" t="s">
        <v>115</v>
      </c>
      <c r="B38" t="s">
        <v>88</v>
      </c>
      <c r="C38" s="1">
        <v>45966</v>
      </c>
      <c r="D38" s="2">
        <v>45966</v>
      </c>
      <c r="E38" t="s">
        <v>31</v>
      </c>
      <c r="G38" t="s">
        <v>40</v>
      </c>
      <c r="H38">
        <v>15.6</v>
      </c>
      <c r="I38">
        <v>-1.06</v>
      </c>
      <c r="J38">
        <v>0.02</v>
      </c>
      <c r="K38">
        <v>-0.01</v>
      </c>
      <c r="L38">
        <v>-150</v>
      </c>
      <c r="N38">
        <v>16.600000000000001</v>
      </c>
      <c r="O38">
        <v>428610000</v>
      </c>
      <c r="P38">
        <v>0.94</v>
      </c>
      <c r="Q38">
        <v>-0.188</v>
      </c>
      <c r="R38">
        <v>-0.16500000000000001</v>
      </c>
      <c r="S38">
        <v>-0.217</v>
      </c>
      <c r="T38">
        <v>-0.24099999999999999</v>
      </c>
      <c r="U38">
        <v>-0.29399999999999998</v>
      </c>
      <c r="V38">
        <v>-0.26500000000000001</v>
      </c>
      <c r="W38">
        <v>-0.16500000000000001</v>
      </c>
      <c r="X38">
        <v>-0.249</v>
      </c>
      <c r="Y38">
        <v>8.3000000000000004E-2</v>
      </c>
      <c r="Z38">
        <v>13.02</v>
      </c>
      <c r="AA38">
        <v>11.72</v>
      </c>
      <c r="AB38" t="s">
        <v>116</v>
      </c>
      <c r="AC38" t="s">
        <v>38</v>
      </c>
    </row>
    <row r="39" spans="1:29" x14ac:dyDescent="0.25">
      <c r="A39" t="s">
        <v>117</v>
      </c>
      <c r="B39" t="s">
        <v>30</v>
      </c>
      <c r="C39" s="1">
        <v>45966</v>
      </c>
      <c r="D39" s="2">
        <v>45966</v>
      </c>
      <c r="E39" t="s">
        <v>31</v>
      </c>
      <c r="G39" t="s">
        <v>32</v>
      </c>
      <c r="H39">
        <v>56.24</v>
      </c>
      <c r="I39">
        <v>1.36</v>
      </c>
      <c r="J39">
        <v>0.93</v>
      </c>
      <c r="K39">
        <v>1.38</v>
      </c>
      <c r="L39">
        <v>47.86</v>
      </c>
      <c r="M39">
        <v>47.28</v>
      </c>
      <c r="N39">
        <v>11.61</v>
      </c>
      <c r="O39">
        <v>2310000000</v>
      </c>
      <c r="P39">
        <v>1.48</v>
      </c>
      <c r="Q39">
        <v>0.16600000000000001</v>
      </c>
      <c r="R39">
        <v>0.156</v>
      </c>
      <c r="S39">
        <v>0.159</v>
      </c>
      <c r="T39">
        <v>0.157</v>
      </c>
      <c r="U39">
        <v>0.105</v>
      </c>
      <c r="V39">
        <v>0.42799999999999999</v>
      </c>
      <c r="W39">
        <v>0.16600000000000001</v>
      </c>
      <c r="X39">
        <v>0.14699999999999999</v>
      </c>
      <c r="Y39">
        <v>0.02</v>
      </c>
      <c r="Z39">
        <v>65.599999999999994</v>
      </c>
      <c r="AA39">
        <v>64.5</v>
      </c>
      <c r="AB39" t="s">
        <v>118</v>
      </c>
      <c r="AC39" t="s">
        <v>42</v>
      </c>
    </row>
    <row r="40" spans="1:29" x14ac:dyDescent="0.25">
      <c r="A40" t="s">
        <v>119</v>
      </c>
      <c r="B40" t="s">
        <v>30</v>
      </c>
      <c r="C40" s="1">
        <v>45966</v>
      </c>
      <c r="D40" s="2">
        <v>45966</v>
      </c>
      <c r="E40" t="s">
        <v>31</v>
      </c>
      <c r="G40" t="s">
        <v>40</v>
      </c>
      <c r="H40">
        <v>3.03</v>
      </c>
      <c r="I40">
        <v>0.25</v>
      </c>
      <c r="J40">
        <v>0.08</v>
      </c>
      <c r="K40">
        <v>0.09</v>
      </c>
      <c r="L40">
        <v>17.52</v>
      </c>
      <c r="M40">
        <v>12.74</v>
      </c>
      <c r="O40">
        <v>909080000</v>
      </c>
      <c r="P40">
        <v>1.1100000000000001</v>
      </c>
      <c r="Q40">
        <v>5.8999999999999997E-2</v>
      </c>
      <c r="R40">
        <v>5.8999999999999997E-2</v>
      </c>
      <c r="S40">
        <v>0.125</v>
      </c>
      <c r="T40">
        <v>6.9000000000000006E-2</v>
      </c>
      <c r="U40">
        <v>2.3E-2</v>
      </c>
      <c r="V40">
        <v>0.86099999999999999</v>
      </c>
      <c r="W40">
        <v>0.125</v>
      </c>
      <c r="X40">
        <v>0.05</v>
      </c>
      <c r="Y40">
        <v>7.5999999999999998E-2</v>
      </c>
      <c r="Z40">
        <v>3.41</v>
      </c>
      <c r="AA40">
        <v>3.18</v>
      </c>
      <c r="AB40" t="s">
        <v>120</v>
      </c>
      <c r="AC40" t="s">
        <v>34</v>
      </c>
    </row>
    <row r="41" spans="1:29" x14ac:dyDescent="0.25">
      <c r="A41" t="s">
        <v>121</v>
      </c>
      <c r="B41" t="s">
        <v>30</v>
      </c>
      <c r="C41" s="1">
        <v>45966</v>
      </c>
      <c r="D41" s="2">
        <v>45966</v>
      </c>
      <c r="E41" t="s">
        <v>31</v>
      </c>
      <c r="G41" t="s">
        <v>32</v>
      </c>
      <c r="H41">
        <v>37.630000000000003</v>
      </c>
      <c r="I41">
        <v>2.2999999999999998</v>
      </c>
      <c r="J41">
        <v>1.04</v>
      </c>
      <c r="K41">
        <v>1.17</v>
      </c>
      <c r="L41">
        <v>12.53</v>
      </c>
      <c r="M41">
        <v>16.47</v>
      </c>
      <c r="N41">
        <v>7.97</v>
      </c>
      <c r="O41">
        <v>22070000000</v>
      </c>
      <c r="P41">
        <v>0.47</v>
      </c>
      <c r="Q41">
        <v>7.8E-2</v>
      </c>
      <c r="R41">
        <v>1.7999999999999999E-2</v>
      </c>
      <c r="S41">
        <v>4.5999999999999999E-2</v>
      </c>
      <c r="T41">
        <v>4.1000000000000002E-2</v>
      </c>
      <c r="U41">
        <v>2.7E-2</v>
      </c>
      <c r="V41">
        <v>0.20100000000000001</v>
      </c>
      <c r="W41">
        <v>7.8E-2</v>
      </c>
      <c r="X41">
        <v>1.7999999999999999E-2</v>
      </c>
      <c r="Y41">
        <v>5.8999999999999997E-2</v>
      </c>
      <c r="Z41">
        <v>40.549999999999997</v>
      </c>
      <c r="AA41">
        <v>38.33</v>
      </c>
      <c r="AB41" t="s">
        <v>122</v>
      </c>
      <c r="AC41" t="s">
        <v>47</v>
      </c>
    </row>
    <row r="42" spans="1:29" x14ac:dyDescent="0.25">
      <c r="A42" t="s">
        <v>123</v>
      </c>
      <c r="B42" t="s">
        <v>30</v>
      </c>
      <c r="C42" s="1">
        <v>45966</v>
      </c>
      <c r="D42" s="2">
        <v>45966</v>
      </c>
      <c r="E42" t="s">
        <v>31</v>
      </c>
      <c r="G42" t="s">
        <v>40</v>
      </c>
      <c r="H42">
        <v>13.19</v>
      </c>
      <c r="I42">
        <v>-8.7899999999999991</v>
      </c>
      <c r="J42">
        <v>0.56999999999999995</v>
      </c>
      <c r="K42">
        <v>-0.04</v>
      </c>
      <c r="L42">
        <v>-107.37</v>
      </c>
      <c r="N42">
        <v>15.29</v>
      </c>
      <c r="O42">
        <v>550020000</v>
      </c>
      <c r="P42">
        <v>1.7</v>
      </c>
      <c r="Q42">
        <v>7.8E-2</v>
      </c>
      <c r="R42">
        <v>0.13</v>
      </c>
      <c r="S42">
        <v>8.5999999999999993E-2</v>
      </c>
      <c r="T42">
        <v>5.1999999999999998E-2</v>
      </c>
      <c r="U42">
        <v>3.5000000000000003E-2</v>
      </c>
      <c r="V42">
        <v>0.57899999999999996</v>
      </c>
      <c r="W42">
        <v>0.13100000000000001</v>
      </c>
      <c r="X42">
        <v>5.1999999999999998E-2</v>
      </c>
      <c r="Y42">
        <v>7.9000000000000001E-2</v>
      </c>
      <c r="Z42">
        <v>14.92</v>
      </c>
      <c r="AA42">
        <v>13.87</v>
      </c>
      <c r="AB42" t="s">
        <v>124</v>
      </c>
      <c r="AC42" t="s">
        <v>52</v>
      </c>
    </row>
    <row r="43" spans="1:29" x14ac:dyDescent="0.25">
      <c r="A43" t="s">
        <v>125</v>
      </c>
      <c r="B43" t="s">
        <v>30</v>
      </c>
      <c r="C43" s="1">
        <v>45966</v>
      </c>
      <c r="D43" s="2">
        <v>45966</v>
      </c>
      <c r="E43" t="s">
        <v>31</v>
      </c>
      <c r="G43" t="s">
        <v>40</v>
      </c>
      <c r="H43">
        <v>13.29</v>
      </c>
      <c r="I43">
        <v>1.21</v>
      </c>
      <c r="J43">
        <v>0.44</v>
      </c>
      <c r="K43">
        <v>0.53</v>
      </c>
      <c r="L43">
        <v>20.72</v>
      </c>
      <c r="M43">
        <v>11.29</v>
      </c>
      <c r="N43">
        <v>7.64</v>
      </c>
      <c r="O43">
        <v>1370000000</v>
      </c>
      <c r="P43">
        <v>0.94</v>
      </c>
      <c r="Q43">
        <v>8.0000000000000002E-3</v>
      </c>
      <c r="R43">
        <v>-2.9000000000000001E-2</v>
      </c>
      <c r="S43">
        <v>7.0000000000000001E-3</v>
      </c>
      <c r="T43">
        <v>5.0000000000000001E-3</v>
      </c>
      <c r="U43">
        <v>-2E-3</v>
      </c>
      <c r="V43">
        <v>-2.5999999999999999E-2</v>
      </c>
      <c r="W43">
        <v>0.02</v>
      </c>
      <c r="X43">
        <v>-2.9000000000000001E-2</v>
      </c>
      <c r="Y43">
        <v>4.8000000000000001E-2</v>
      </c>
      <c r="Z43">
        <v>13.55</v>
      </c>
      <c r="AA43">
        <v>12.91</v>
      </c>
      <c r="AB43" t="s">
        <v>126</v>
      </c>
      <c r="AC43" t="s">
        <v>52</v>
      </c>
    </row>
    <row r="44" spans="1:29" x14ac:dyDescent="0.25">
      <c r="A44" t="s">
        <v>127</v>
      </c>
      <c r="B44" t="s">
        <v>30</v>
      </c>
      <c r="C44" s="1">
        <v>45966</v>
      </c>
      <c r="D44" s="2">
        <v>45966</v>
      </c>
      <c r="E44" t="s">
        <v>31</v>
      </c>
      <c r="G44" t="s">
        <v>32</v>
      </c>
      <c r="H44">
        <v>3.33</v>
      </c>
      <c r="I44">
        <v>7.0000000000000007E-2</v>
      </c>
      <c r="J44">
        <v>-0.01</v>
      </c>
      <c r="K44">
        <v>0.02</v>
      </c>
      <c r="L44">
        <v>433.33</v>
      </c>
      <c r="M44">
        <v>52.13</v>
      </c>
      <c r="N44">
        <v>30.15</v>
      </c>
      <c r="O44">
        <v>1090000000</v>
      </c>
      <c r="P44">
        <v>1.29</v>
      </c>
      <c r="Q44">
        <v>0.13200000000000001</v>
      </c>
      <c r="R44">
        <v>0.14099999999999999</v>
      </c>
      <c r="S44">
        <v>0.252</v>
      </c>
      <c r="T44">
        <v>0.20399999999999999</v>
      </c>
      <c r="U44">
        <v>0.18</v>
      </c>
      <c r="V44">
        <v>8.9999999999999993E-3</v>
      </c>
      <c r="W44">
        <v>0.255</v>
      </c>
      <c r="X44">
        <v>0.13200000000000001</v>
      </c>
      <c r="Y44">
        <v>0.123</v>
      </c>
      <c r="Z44">
        <v>4.18</v>
      </c>
      <c r="AA44">
        <v>3.77</v>
      </c>
      <c r="AB44" t="s">
        <v>128</v>
      </c>
      <c r="AC44" t="s">
        <v>129</v>
      </c>
    </row>
    <row r="45" spans="1:29" x14ac:dyDescent="0.25">
      <c r="A45" t="s">
        <v>130</v>
      </c>
      <c r="B45" t="s">
        <v>30</v>
      </c>
      <c r="C45" s="1">
        <v>45966</v>
      </c>
      <c r="D45" s="2">
        <v>45966</v>
      </c>
      <c r="E45" t="s">
        <v>31</v>
      </c>
      <c r="G45" t="s">
        <v>32</v>
      </c>
      <c r="H45">
        <v>58.66</v>
      </c>
      <c r="I45">
        <v>-2.38</v>
      </c>
      <c r="J45">
        <v>-0.71</v>
      </c>
      <c r="K45">
        <v>-0.55000000000000004</v>
      </c>
      <c r="L45">
        <v>22.55</v>
      </c>
      <c r="O45">
        <v>5610000000</v>
      </c>
      <c r="P45">
        <v>2.08</v>
      </c>
      <c r="Q45">
        <v>0.28100000000000003</v>
      </c>
      <c r="R45">
        <v>0.34499999999999997</v>
      </c>
      <c r="S45">
        <v>0.313</v>
      </c>
      <c r="T45">
        <v>0.20200000000000001</v>
      </c>
      <c r="U45">
        <v>0.20899999999999999</v>
      </c>
      <c r="V45">
        <v>8.6999999999999994E-2</v>
      </c>
      <c r="W45">
        <v>0.34899999999999998</v>
      </c>
      <c r="X45">
        <v>0.193</v>
      </c>
      <c r="Y45">
        <v>0.156</v>
      </c>
      <c r="Z45">
        <v>79.14</v>
      </c>
      <c r="AA45">
        <v>69.98</v>
      </c>
      <c r="AB45" t="s">
        <v>131</v>
      </c>
      <c r="AC45" t="s">
        <v>94</v>
      </c>
    </row>
    <row r="46" spans="1:29" x14ac:dyDescent="0.25">
      <c r="A46" t="s">
        <v>132</v>
      </c>
      <c r="B46" t="s">
        <v>30</v>
      </c>
      <c r="C46" s="1">
        <v>45966</v>
      </c>
      <c r="D46" s="2">
        <v>45966</v>
      </c>
      <c r="E46" t="s">
        <v>31</v>
      </c>
      <c r="G46" t="s">
        <v>40</v>
      </c>
      <c r="H46">
        <v>4.01</v>
      </c>
      <c r="I46">
        <v>-0.05</v>
      </c>
      <c r="J46">
        <v>0.01</v>
      </c>
      <c r="K46">
        <v>0</v>
      </c>
      <c r="L46">
        <v>-103</v>
      </c>
      <c r="O46">
        <v>497440000</v>
      </c>
      <c r="P46">
        <v>1.33</v>
      </c>
      <c r="Q46">
        <v>0.13200000000000001</v>
      </c>
      <c r="R46">
        <v>0.185</v>
      </c>
      <c r="S46">
        <v>0.2</v>
      </c>
      <c r="T46">
        <v>0.372</v>
      </c>
      <c r="U46">
        <v>0.312</v>
      </c>
      <c r="V46">
        <v>5.7000000000000002E-2</v>
      </c>
      <c r="W46">
        <v>0.372</v>
      </c>
      <c r="X46">
        <v>0.13200000000000001</v>
      </c>
      <c r="Y46">
        <v>0.23899999999999999</v>
      </c>
      <c r="Z46">
        <v>5.5</v>
      </c>
      <c r="AA46">
        <v>4.54</v>
      </c>
      <c r="AB46" t="s">
        <v>133</v>
      </c>
      <c r="AC46" t="s">
        <v>47</v>
      </c>
    </row>
    <row r="47" spans="1:29" x14ac:dyDescent="0.25">
      <c r="A47" t="s">
        <v>134</v>
      </c>
      <c r="B47" t="s">
        <v>30</v>
      </c>
      <c r="C47" s="1">
        <v>45966</v>
      </c>
      <c r="D47" s="2">
        <v>45966</v>
      </c>
      <c r="E47" t="s">
        <v>31</v>
      </c>
      <c r="G47" t="s">
        <v>40</v>
      </c>
      <c r="H47">
        <v>8.07</v>
      </c>
      <c r="I47">
        <v>-0.96</v>
      </c>
      <c r="J47">
        <v>0</v>
      </c>
      <c r="K47">
        <v>7.0000000000000007E-2</v>
      </c>
      <c r="L47">
        <v>41076.47</v>
      </c>
      <c r="N47">
        <v>104.41</v>
      </c>
      <c r="O47">
        <v>1700000000</v>
      </c>
      <c r="P47">
        <v>0.92</v>
      </c>
      <c r="Q47">
        <v>0.35899999999999999</v>
      </c>
      <c r="R47">
        <v>0.47799999999999998</v>
      </c>
      <c r="S47">
        <v>0.47499999999999998</v>
      </c>
      <c r="T47">
        <v>0.39200000000000002</v>
      </c>
      <c r="U47">
        <v>0.35099999999999998</v>
      </c>
      <c r="V47">
        <v>1.2629999999999999</v>
      </c>
      <c r="W47">
        <v>0.48599999999999999</v>
      </c>
      <c r="X47">
        <v>0.35899999999999999</v>
      </c>
      <c r="Y47">
        <v>0.126</v>
      </c>
      <c r="Z47">
        <v>11.99</v>
      </c>
      <c r="AA47">
        <v>10.97</v>
      </c>
      <c r="AB47" t="s">
        <v>135</v>
      </c>
      <c r="AC47" t="s">
        <v>42</v>
      </c>
    </row>
    <row r="48" spans="1:29" x14ac:dyDescent="0.25">
      <c r="A48" t="s">
        <v>136</v>
      </c>
      <c r="B48" t="s">
        <v>30</v>
      </c>
      <c r="C48" s="1">
        <v>45966</v>
      </c>
      <c r="D48" s="2">
        <v>45966</v>
      </c>
      <c r="E48" t="s">
        <v>31</v>
      </c>
      <c r="G48" t="s">
        <v>40</v>
      </c>
      <c r="H48">
        <v>7.88</v>
      </c>
      <c r="I48">
        <v>-3.7</v>
      </c>
      <c r="J48">
        <v>-0.06</v>
      </c>
      <c r="K48">
        <v>0.02</v>
      </c>
      <c r="L48">
        <v>133.33000000000001</v>
      </c>
      <c r="N48">
        <v>42.69</v>
      </c>
      <c r="O48">
        <v>1590000000</v>
      </c>
      <c r="P48">
        <v>0.99</v>
      </c>
      <c r="Q48">
        <v>7.6999999999999999E-2</v>
      </c>
      <c r="R48">
        <v>2.8000000000000001E-2</v>
      </c>
      <c r="S48">
        <v>3.5999999999999997E-2</v>
      </c>
      <c r="T48">
        <v>3.6999999999999998E-2</v>
      </c>
      <c r="U48">
        <v>2.4E-2</v>
      </c>
      <c r="V48">
        <v>-0.02</v>
      </c>
      <c r="W48">
        <v>7.6999999999999999E-2</v>
      </c>
      <c r="X48">
        <v>-3.0000000000000001E-3</v>
      </c>
      <c r="Y48">
        <v>0.08</v>
      </c>
      <c r="Z48">
        <v>8.49</v>
      </c>
      <c r="AA48">
        <v>7.86</v>
      </c>
      <c r="AB48" t="s">
        <v>137</v>
      </c>
      <c r="AC48" t="s">
        <v>129</v>
      </c>
    </row>
    <row r="49" spans="1:29" x14ac:dyDescent="0.25">
      <c r="A49" t="s">
        <v>138</v>
      </c>
      <c r="B49" t="s">
        <v>30</v>
      </c>
      <c r="C49" s="1">
        <v>45966</v>
      </c>
      <c r="D49" s="2">
        <v>45966</v>
      </c>
      <c r="E49" t="s">
        <v>31</v>
      </c>
      <c r="G49" t="s">
        <v>40</v>
      </c>
      <c r="H49">
        <v>6.86</v>
      </c>
      <c r="I49">
        <v>0.7</v>
      </c>
      <c r="J49">
        <v>0.2</v>
      </c>
      <c r="K49">
        <v>0.2</v>
      </c>
      <c r="L49">
        <v>-0.97</v>
      </c>
      <c r="M49">
        <v>10.82</v>
      </c>
      <c r="N49">
        <v>8.7899999999999991</v>
      </c>
      <c r="O49">
        <v>40350000000</v>
      </c>
      <c r="P49">
        <v>0.64</v>
      </c>
      <c r="Q49">
        <v>1E-3</v>
      </c>
      <c r="R49">
        <v>0.02</v>
      </c>
      <c r="S49">
        <v>2.1000000000000001E-2</v>
      </c>
      <c r="T49">
        <v>2.1000000000000001E-2</v>
      </c>
      <c r="U49">
        <v>-3.0000000000000001E-3</v>
      </c>
      <c r="V49">
        <v>0.33400000000000002</v>
      </c>
      <c r="W49">
        <v>4.7E-2</v>
      </c>
      <c r="X49">
        <v>1E-3</v>
      </c>
      <c r="Y49">
        <v>4.4999999999999998E-2</v>
      </c>
      <c r="Z49">
        <v>7.19</v>
      </c>
      <c r="AA49">
        <v>6.87</v>
      </c>
      <c r="AB49" t="s">
        <v>139</v>
      </c>
      <c r="AC49" t="s">
        <v>94</v>
      </c>
    </row>
    <row r="50" spans="1:29" x14ac:dyDescent="0.25">
      <c r="A50" t="s">
        <v>140</v>
      </c>
      <c r="B50" t="s">
        <v>30</v>
      </c>
      <c r="C50" s="1">
        <v>45966</v>
      </c>
      <c r="D50" s="2">
        <v>45966</v>
      </c>
      <c r="E50" t="s">
        <v>31</v>
      </c>
      <c r="G50" t="s">
        <v>40</v>
      </c>
      <c r="H50">
        <v>35.67</v>
      </c>
      <c r="I50">
        <v>1.34</v>
      </c>
      <c r="J50">
        <v>0.38</v>
      </c>
      <c r="K50">
        <v>0.33</v>
      </c>
      <c r="L50">
        <v>-13.17</v>
      </c>
      <c r="M50">
        <v>26.94</v>
      </c>
      <c r="N50">
        <v>22.85</v>
      </c>
      <c r="O50">
        <v>8070000000</v>
      </c>
      <c r="P50">
        <v>0.78</v>
      </c>
      <c r="Q50">
        <v>-1.2E-2</v>
      </c>
      <c r="R50">
        <v>1.7999999999999999E-2</v>
      </c>
      <c r="S50">
        <v>6.0000000000000001E-3</v>
      </c>
      <c r="T50">
        <v>-3.0000000000000001E-3</v>
      </c>
      <c r="U50">
        <v>1.4999999999999999E-2</v>
      </c>
      <c r="V50">
        <v>0.122</v>
      </c>
      <c r="W50">
        <v>1.7999999999999999E-2</v>
      </c>
      <c r="X50">
        <v>-1.2E-2</v>
      </c>
      <c r="Y50">
        <v>0.03</v>
      </c>
      <c r="Z50">
        <v>36.32</v>
      </c>
      <c r="AA50">
        <v>35.24</v>
      </c>
      <c r="AB50" t="s">
        <v>141</v>
      </c>
      <c r="AC50" t="s">
        <v>52</v>
      </c>
    </row>
    <row r="51" spans="1:29" x14ac:dyDescent="0.25">
      <c r="A51" t="s">
        <v>142</v>
      </c>
      <c r="B51" t="s">
        <v>143</v>
      </c>
      <c r="C51" s="1">
        <v>45966</v>
      </c>
      <c r="D51" s="2">
        <v>45966</v>
      </c>
      <c r="E51" t="s">
        <v>31</v>
      </c>
      <c r="G51" t="s">
        <v>32</v>
      </c>
      <c r="H51">
        <v>136.62</v>
      </c>
      <c r="I51">
        <v>4.66</v>
      </c>
      <c r="J51">
        <v>1.62</v>
      </c>
      <c r="K51">
        <v>1.62</v>
      </c>
      <c r="L51">
        <v>0.28000000000000003</v>
      </c>
      <c r="M51">
        <v>29.59</v>
      </c>
      <c r="N51">
        <v>20.99</v>
      </c>
      <c r="O51">
        <v>77520000000</v>
      </c>
      <c r="P51">
        <v>1.25</v>
      </c>
      <c r="Q51">
        <v>-4.4999999999999998E-2</v>
      </c>
      <c r="R51">
        <v>-5.6000000000000001E-2</v>
      </c>
      <c r="S51">
        <v>-3.7999999999999999E-2</v>
      </c>
      <c r="T51">
        <v>-7.0000000000000007E-2</v>
      </c>
      <c r="U51">
        <v>-6.5000000000000002E-2</v>
      </c>
      <c r="V51">
        <v>8.4000000000000005E-2</v>
      </c>
      <c r="W51">
        <v>-3.7999999999999999E-2</v>
      </c>
      <c r="X51">
        <v>-7.0000000000000007E-2</v>
      </c>
      <c r="Y51">
        <v>3.1E-2</v>
      </c>
      <c r="Z51">
        <v>131.36000000000001</v>
      </c>
      <c r="AA51">
        <v>127.09</v>
      </c>
      <c r="AB51" t="s">
        <v>144</v>
      </c>
      <c r="AC51" t="s">
        <v>38</v>
      </c>
    </row>
    <row r="52" spans="1:29" x14ac:dyDescent="0.25">
      <c r="A52" t="s">
        <v>145</v>
      </c>
      <c r="B52" t="s">
        <v>30</v>
      </c>
      <c r="C52" s="1">
        <v>45966</v>
      </c>
      <c r="D52" s="2">
        <v>45966</v>
      </c>
      <c r="E52" t="s">
        <v>31</v>
      </c>
      <c r="G52" t="s">
        <v>32</v>
      </c>
      <c r="H52">
        <v>237.7</v>
      </c>
      <c r="I52">
        <v>9.2899999999999991</v>
      </c>
      <c r="J52">
        <v>2.74</v>
      </c>
      <c r="K52">
        <v>3.18</v>
      </c>
      <c r="L52">
        <v>16.02</v>
      </c>
      <c r="M52">
        <v>27.75</v>
      </c>
      <c r="N52">
        <v>23.44</v>
      </c>
      <c r="O52">
        <v>6990000000</v>
      </c>
      <c r="P52">
        <v>1.9</v>
      </c>
      <c r="Q52">
        <v>5.8000000000000003E-2</v>
      </c>
      <c r="R52">
        <v>8.2000000000000003E-2</v>
      </c>
      <c r="S52">
        <v>0.114</v>
      </c>
      <c r="T52">
        <v>5.1999999999999998E-2</v>
      </c>
      <c r="U52">
        <v>3.2000000000000001E-2</v>
      </c>
      <c r="V52">
        <v>0.44800000000000001</v>
      </c>
      <c r="W52">
        <v>0.114</v>
      </c>
      <c r="X52">
        <v>5.1999999999999998E-2</v>
      </c>
      <c r="Y52">
        <v>6.2E-2</v>
      </c>
      <c r="Z52">
        <v>264.79000000000002</v>
      </c>
      <c r="AA52">
        <v>250.17</v>
      </c>
      <c r="AB52" t="s">
        <v>146</v>
      </c>
      <c r="AC52" t="s">
        <v>64</v>
      </c>
    </row>
    <row r="53" spans="1:29" x14ac:dyDescent="0.25">
      <c r="A53" t="s">
        <v>147</v>
      </c>
      <c r="B53" t="s">
        <v>30</v>
      </c>
      <c r="C53" s="1">
        <v>45966</v>
      </c>
      <c r="D53" s="2">
        <v>45966</v>
      </c>
      <c r="E53" t="s">
        <v>31</v>
      </c>
      <c r="G53" t="s">
        <v>32</v>
      </c>
      <c r="H53">
        <v>3.97</v>
      </c>
      <c r="I53">
        <v>-10.01</v>
      </c>
      <c r="J53">
        <v>-0.84</v>
      </c>
      <c r="K53">
        <v>-0.69</v>
      </c>
      <c r="L53">
        <v>18.18</v>
      </c>
      <c r="O53">
        <v>324390000</v>
      </c>
      <c r="P53">
        <v>0.44</v>
      </c>
      <c r="Q53">
        <v>-0.11700000000000001</v>
      </c>
      <c r="R53">
        <v>-8.5999999999999993E-2</v>
      </c>
      <c r="S53">
        <v>-2.5000000000000001E-2</v>
      </c>
      <c r="T53">
        <v>-7.8E-2</v>
      </c>
      <c r="U53">
        <v>-8.1000000000000003E-2</v>
      </c>
      <c r="V53">
        <v>-0.14099999999999999</v>
      </c>
      <c r="W53">
        <v>-2.5000000000000001E-2</v>
      </c>
      <c r="X53">
        <v>-0.11700000000000001</v>
      </c>
      <c r="Y53">
        <v>9.1999999999999998E-2</v>
      </c>
      <c r="Z53">
        <v>3.87</v>
      </c>
      <c r="AA53">
        <v>3.51</v>
      </c>
      <c r="AB53" t="s">
        <v>148</v>
      </c>
      <c r="AC53" t="s">
        <v>47</v>
      </c>
    </row>
    <row r="54" spans="1:29" x14ac:dyDescent="0.25">
      <c r="A54" t="b">
        <v>1</v>
      </c>
      <c r="B54" t="s">
        <v>30</v>
      </c>
      <c r="C54" s="1">
        <v>45966</v>
      </c>
      <c r="D54" s="2">
        <v>45966</v>
      </c>
      <c r="E54" t="s">
        <v>31</v>
      </c>
      <c r="G54" t="s">
        <v>40</v>
      </c>
      <c r="H54">
        <v>2.2000000000000002</v>
      </c>
      <c r="I54">
        <v>-0.21</v>
      </c>
      <c r="J54">
        <v>-0.03</v>
      </c>
      <c r="K54">
        <v>0.1</v>
      </c>
      <c r="L54">
        <v>384.58</v>
      </c>
      <c r="O54">
        <v>194780000</v>
      </c>
      <c r="P54">
        <v>2.2000000000000002</v>
      </c>
      <c r="Q54">
        <v>0</v>
      </c>
      <c r="R54">
        <v>-1.7999999999999999E-2</v>
      </c>
      <c r="S54">
        <v>4.1000000000000002E-2</v>
      </c>
      <c r="T54">
        <v>4.4999999999999998E-2</v>
      </c>
      <c r="U54">
        <v>-5.0000000000000001E-3</v>
      </c>
      <c r="V54">
        <v>0.155</v>
      </c>
      <c r="W54">
        <v>4.4999999999999998E-2</v>
      </c>
      <c r="X54">
        <v>-1.7999999999999999E-2</v>
      </c>
      <c r="Y54">
        <v>6.4000000000000001E-2</v>
      </c>
      <c r="Z54">
        <v>2.2999999999999998</v>
      </c>
      <c r="AA54">
        <v>2.16</v>
      </c>
      <c r="AB54" t="s">
        <v>149</v>
      </c>
      <c r="AC54" t="s">
        <v>129</v>
      </c>
    </row>
    <row r="55" spans="1:29" x14ac:dyDescent="0.25">
      <c r="A55" t="s">
        <v>150</v>
      </c>
      <c r="B55" t="s">
        <v>30</v>
      </c>
      <c r="C55" s="1">
        <v>45966</v>
      </c>
      <c r="D55" s="2">
        <v>45966</v>
      </c>
      <c r="E55" t="s">
        <v>31</v>
      </c>
      <c r="G55" t="s">
        <v>32</v>
      </c>
      <c r="H55">
        <v>2.56</v>
      </c>
      <c r="I55">
        <v>-0.28000000000000003</v>
      </c>
      <c r="J55">
        <v>0.02</v>
      </c>
      <c r="K55">
        <v>0.02</v>
      </c>
      <c r="L55">
        <v>11.11</v>
      </c>
      <c r="N55">
        <v>23.49</v>
      </c>
      <c r="O55">
        <v>255360000</v>
      </c>
      <c r="P55">
        <v>1.39</v>
      </c>
      <c r="Q55">
        <v>3.9E-2</v>
      </c>
      <c r="R55">
        <v>-0.11700000000000001</v>
      </c>
      <c r="S55">
        <v>-0.14499999999999999</v>
      </c>
      <c r="T55">
        <v>-0.16800000000000001</v>
      </c>
      <c r="U55">
        <v>-0.28499999999999998</v>
      </c>
      <c r="V55">
        <v>-0.41799999999999998</v>
      </c>
      <c r="W55">
        <v>9.4E-2</v>
      </c>
      <c r="X55">
        <v>-0.16800000000000001</v>
      </c>
      <c r="Y55">
        <v>0.26200000000000001</v>
      </c>
      <c r="Z55">
        <v>2.8</v>
      </c>
      <c r="AA55">
        <v>2.13</v>
      </c>
      <c r="AB55" t="s">
        <v>151</v>
      </c>
      <c r="AC55" t="s">
        <v>64</v>
      </c>
    </row>
    <row r="56" spans="1:29" x14ac:dyDescent="0.25">
      <c r="A56" t="s">
        <v>152</v>
      </c>
      <c r="B56" t="s">
        <v>36</v>
      </c>
      <c r="C56" s="1">
        <v>45966</v>
      </c>
      <c r="D56" s="2">
        <v>45966</v>
      </c>
      <c r="E56" t="s">
        <v>31</v>
      </c>
      <c r="G56" t="s">
        <v>32</v>
      </c>
      <c r="H56">
        <v>203.89</v>
      </c>
      <c r="I56">
        <v>21.69</v>
      </c>
      <c r="J56">
        <v>5.36</v>
      </c>
      <c r="K56">
        <v>4.66</v>
      </c>
      <c r="L56">
        <v>-13.11</v>
      </c>
      <c r="M56">
        <v>9.4</v>
      </c>
      <c r="N56">
        <v>9.8699999999999992</v>
      </c>
      <c r="O56">
        <v>266000000000</v>
      </c>
      <c r="P56">
        <v>0.69</v>
      </c>
      <c r="Q56">
        <v>-5.0000000000000001E-3</v>
      </c>
      <c r="R56">
        <v>0</v>
      </c>
      <c r="S56">
        <v>1.7000000000000001E-2</v>
      </c>
      <c r="T56">
        <v>1E-3</v>
      </c>
      <c r="U56">
        <v>-3.5000000000000003E-2</v>
      </c>
      <c r="V56">
        <v>0.218</v>
      </c>
      <c r="W56">
        <v>1.7000000000000001E-2</v>
      </c>
      <c r="X56">
        <v>-8.9999999999999993E-3</v>
      </c>
      <c r="Y56">
        <v>2.5999999999999999E-2</v>
      </c>
      <c r="Z56">
        <v>207.29</v>
      </c>
      <c r="AA56">
        <v>201.98</v>
      </c>
      <c r="AB56" t="s">
        <v>153</v>
      </c>
      <c r="AC56" t="s">
        <v>64</v>
      </c>
    </row>
    <row r="57" spans="1:29" x14ac:dyDescent="0.25">
      <c r="A57" t="s">
        <v>154</v>
      </c>
      <c r="B57" t="s">
        <v>30</v>
      </c>
      <c r="C57" s="1">
        <v>45966</v>
      </c>
      <c r="D57" s="2">
        <v>45966</v>
      </c>
      <c r="E57" t="s">
        <v>31</v>
      </c>
      <c r="G57" t="s">
        <v>32</v>
      </c>
      <c r="H57">
        <v>34.979999999999997</v>
      </c>
      <c r="I57">
        <v>1.76</v>
      </c>
      <c r="J57">
        <v>0.52</v>
      </c>
      <c r="K57">
        <v>0.47</v>
      </c>
      <c r="L57">
        <v>-9.0299999999999994</v>
      </c>
      <c r="M57">
        <v>19.920000000000002</v>
      </c>
      <c r="N57">
        <v>16.739999999999998</v>
      </c>
      <c r="O57">
        <v>967990000</v>
      </c>
      <c r="P57">
        <v>1.38</v>
      </c>
      <c r="Q57">
        <v>3.4000000000000002E-2</v>
      </c>
      <c r="R57">
        <v>0.105</v>
      </c>
      <c r="S57">
        <v>0.14799999999999999</v>
      </c>
      <c r="T57">
        <v>0.14899999999999999</v>
      </c>
      <c r="U57">
        <v>0.215</v>
      </c>
      <c r="V57">
        <v>0.53600000000000003</v>
      </c>
      <c r="W57">
        <v>0.16500000000000001</v>
      </c>
      <c r="X57">
        <v>3.4000000000000002E-2</v>
      </c>
      <c r="Y57">
        <v>0.13100000000000001</v>
      </c>
      <c r="Z57">
        <v>40.74</v>
      </c>
      <c r="AA57">
        <v>36.159999999999997</v>
      </c>
      <c r="AB57" t="s">
        <v>155</v>
      </c>
      <c r="AC57" t="s">
        <v>64</v>
      </c>
    </row>
    <row r="58" spans="1:29" x14ac:dyDescent="0.25">
      <c r="A58" t="s">
        <v>156</v>
      </c>
      <c r="B58" t="s">
        <v>30</v>
      </c>
      <c r="C58" s="1">
        <v>45966</v>
      </c>
      <c r="D58" s="2">
        <v>45966</v>
      </c>
      <c r="E58" t="s">
        <v>31</v>
      </c>
      <c r="G58" t="s">
        <v>40</v>
      </c>
      <c r="H58">
        <v>1.1599999999999999</v>
      </c>
      <c r="I58">
        <v>-0.7</v>
      </c>
      <c r="J58">
        <v>-0.05</v>
      </c>
      <c r="K58">
        <v>0.16</v>
      </c>
      <c r="L58">
        <v>422.24</v>
      </c>
      <c r="O58">
        <v>106810000</v>
      </c>
      <c r="P58">
        <v>0.55000000000000004</v>
      </c>
      <c r="Q58">
        <v>0.224</v>
      </c>
      <c r="R58">
        <v>0.39700000000000002</v>
      </c>
      <c r="S58">
        <v>0.64700000000000002</v>
      </c>
      <c r="T58">
        <v>0.75900000000000001</v>
      </c>
      <c r="U58">
        <v>0.84499999999999997</v>
      </c>
      <c r="V58">
        <v>1.31</v>
      </c>
      <c r="W58">
        <v>0.75900000000000001</v>
      </c>
      <c r="X58">
        <v>0.19</v>
      </c>
      <c r="Y58">
        <v>0.56899999999999995</v>
      </c>
      <c r="Z58">
        <v>2.04</v>
      </c>
      <c r="AA58">
        <v>1.38</v>
      </c>
      <c r="AB58" t="s">
        <v>157</v>
      </c>
      <c r="AC58" t="s">
        <v>158</v>
      </c>
    </row>
    <row r="59" spans="1:29" x14ac:dyDescent="0.25">
      <c r="A59" t="s">
        <v>159</v>
      </c>
      <c r="B59" t="s">
        <v>30</v>
      </c>
      <c r="C59" s="1">
        <v>45966</v>
      </c>
      <c r="D59" s="2">
        <v>45966</v>
      </c>
      <c r="E59" t="s">
        <v>31</v>
      </c>
      <c r="G59" t="s">
        <v>40</v>
      </c>
      <c r="H59">
        <v>7.73</v>
      </c>
      <c r="I59">
        <v>0.65</v>
      </c>
      <c r="J59">
        <v>0.3</v>
      </c>
      <c r="K59">
        <v>0.3</v>
      </c>
      <c r="L59">
        <v>0</v>
      </c>
      <c r="M59">
        <v>12.63</v>
      </c>
      <c r="N59">
        <v>7.8</v>
      </c>
      <c r="O59">
        <v>420740000</v>
      </c>
      <c r="P59">
        <v>0.53</v>
      </c>
      <c r="Q59">
        <v>7.3999999999999996E-2</v>
      </c>
      <c r="R59">
        <v>4.8000000000000001E-2</v>
      </c>
      <c r="S59">
        <v>3.9E-2</v>
      </c>
      <c r="T59">
        <v>2.1999999999999999E-2</v>
      </c>
      <c r="U59">
        <v>3.5999999999999997E-2</v>
      </c>
      <c r="V59">
        <v>6.6000000000000003E-2</v>
      </c>
      <c r="W59">
        <v>7.4999999999999997E-2</v>
      </c>
      <c r="X59">
        <v>2.1000000000000001E-2</v>
      </c>
      <c r="Y59">
        <v>5.3999999999999999E-2</v>
      </c>
      <c r="Z59">
        <v>8.31</v>
      </c>
      <c r="AA59">
        <v>7.89</v>
      </c>
      <c r="AB59" t="s">
        <v>160</v>
      </c>
      <c r="AC59" t="s">
        <v>34</v>
      </c>
    </row>
    <row r="60" spans="1:29" x14ac:dyDescent="0.25">
      <c r="A60" t="s">
        <v>161</v>
      </c>
      <c r="B60" t="s">
        <v>30</v>
      </c>
      <c r="C60" s="1">
        <v>45966</v>
      </c>
      <c r="D60" s="2">
        <v>45966</v>
      </c>
      <c r="E60" t="s">
        <v>31</v>
      </c>
      <c r="G60" t="s">
        <v>40</v>
      </c>
      <c r="H60">
        <v>8.01</v>
      </c>
      <c r="I60">
        <v>-3.7</v>
      </c>
      <c r="J60">
        <v>0</v>
      </c>
      <c r="K60">
        <v>0.02</v>
      </c>
      <c r="L60">
        <v>623.55999999999995</v>
      </c>
      <c r="N60">
        <v>28.35</v>
      </c>
      <c r="O60">
        <v>1590000000</v>
      </c>
      <c r="P60">
        <v>0.97</v>
      </c>
      <c r="Q60">
        <v>7.1999999999999995E-2</v>
      </c>
      <c r="R60">
        <v>1.7000000000000001E-2</v>
      </c>
      <c r="S60">
        <v>0.03</v>
      </c>
      <c r="T60">
        <v>0.03</v>
      </c>
      <c r="U60">
        <v>1.9E-2</v>
      </c>
      <c r="V60">
        <v>-2.5999999999999999E-2</v>
      </c>
      <c r="W60">
        <v>7.1999999999999995E-2</v>
      </c>
      <c r="X60">
        <v>-7.0000000000000001E-3</v>
      </c>
      <c r="Y60">
        <v>0.08</v>
      </c>
      <c r="Z60">
        <v>8.59</v>
      </c>
      <c r="AA60">
        <v>7.95</v>
      </c>
      <c r="AB60" t="s">
        <v>137</v>
      </c>
      <c r="AC60" t="s">
        <v>129</v>
      </c>
    </row>
    <row r="61" spans="1:29" x14ac:dyDescent="0.25">
      <c r="A61" t="s">
        <v>162</v>
      </c>
      <c r="B61" t="s">
        <v>30</v>
      </c>
      <c r="C61" s="1">
        <v>45966</v>
      </c>
      <c r="D61" s="2">
        <v>45966</v>
      </c>
      <c r="E61" t="s">
        <v>31</v>
      </c>
      <c r="G61" t="s">
        <v>40</v>
      </c>
      <c r="H61">
        <v>42.75</v>
      </c>
      <c r="I61">
        <v>-1.83</v>
      </c>
      <c r="J61">
        <v>1.59</v>
      </c>
      <c r="K61">
        <v>3.18</v>
      </c>
      <c r="L61">
        <v>100.61</v>
      </c>
      <c r="N61">
        <v>5.0999999999999996</v>
      </c>
      <c r="O61">
        <v>1060000000</v>
      </c>
      <c r="P61">
        <v>1.46</v>
      </c>
      <c r="Q61">
        <v>0.105</v>
      </c>
      <c r="R61">
        <v>0.16</v>
      </c>
      <c r="S61">
        <v>0.13500000000000001</v>
      </c>
      <c r="T61">
        <v>0.16</v>
      </c>
      <c r="U61">
        <v>0.11600000000000001</v>
      </c>
      <c r="V61">
        <v>0.34399999999999997</v>
      </c>
      <c r="W61">
        <v>0.16300000000000001</v>
      </c>
      <c r="X61">
        <v>0.105</v>
      </c>
      <c r="Y61">
        <v>5.8000000000000003E-2</v>
      </c>
      <c r="Z61">
        <v>49.71</v>
      </c>
      <c r="AA61">
        <v>47.22</v>
      </c>
      <c r="AB61" t="s">
        <v>163</v>
      </c>
      <c r="AC61" t="s">
        <v>94</v>
      </c>
    </row>
    <row r="62" spans="1:29" x14ac:dyDescent="0.25">
      <c r="A62" t="s">
        <v>164</v>
      </c>
      <c r="B62" t="s">
        <v>30</v>
      </c>
      <c r="C62" s="1">
        <v>45967</v>
      </c>
      <c r="D62" s="2">
        <v>45967</v>
      </c>
      <c r="E62" t="s">
        <v>31</v>
      </c>
      <c r="G62" t="s">
        <v>32</v>
      </c>
      <c r="H62">
        <v>10.63</v>
      </c>
      <c r="I62">
        <v>-2.91</v>
      </c>
      <c r="J62">
        <v>-0.03</v>
      </c>
      <c r="K62">
        <v>-0.11</v>
      </c>
      <c r="L62">
        <v>-231.03</v>
      </c>
      <c r="N62">
        <v>4.29</v>
      </c>
      <c r="O62">
        <v>12110000000</v>
      </c>
      <c r="P62">
        <v>0.83</v>
      </c>
      <c r="Q62">
        <v>-5.8999999999999997E-2</v>
      </c>
      <c r="R62">
        <v>4.2000000000000003E-2</v>
      </c>
      <c r="S62">
        <v>1.4999999999999999E-2</v>
      </c>
      <c r="T62">
        <v>-8.0000000000000002E-3</v>
      </c>
      <c r="U62">
        <v>-5.1999999999999998E-2</v>
      </c>
      <c r="V62">
        <v>0.48399999999999999</v>
      </c>
      <c r="W62">
        <v>4.2000000000000003E-2</v>
      </c>
      <c r="X62">
        <v>-5.8999999999999997E-2</v>
      </c>
      <c r="Y62">
        <v>0.1</v>
      </c>
      <c r="Z62">
        <v>11.07</v>
      </c>
      <c r="AA62">
        <v>10</v>
      </c>
      <c r="AB62" t="s">
        <v>165</v>
      </c>
      <c r="AC62" t="s">
        <v>47</v>
      </c>
    </row>
    <row r="63" spans="1:29" x14ac:dyDescent="0.25">
      <c r="A63" t="s">
        <v>166</v>
      </c>
      <c r="B63" t="s">
        <v>30</v>
      </c>
      <c r="C63" s="1">
        <v>45967</v>
      </c>
      <c r="D63" s="2">
        <v>45967</v>
      </c>
      <c r="E63" t="s">
        <v>31</v>
      </c>
      <c r="G63" t="s">
        <v>40</v>
      </c>
      <c r="H63">
        <v>16.940000000000001</v>
      </c>
      <c r="I63">
        <v>-7.0000000000000007E-2</v>
      </c>
      <c r="J63">
        <v>0.15</v>
      </c>
      <c r="K63">
        <v>0.16</v>
      </c>
      <c r="L63">
        <v>7.96</v>
      </c>
      <c r="N63">
        <v>22.55</v>
      </c>
      <c r="O63">
        <v>1850000000</v>
      </c>
      <c r="P63">
        <v>1.71</v>
      </c>
      <c r="Q63">
        <v>-0.125</v>
      </c>
      <c r="R63">
        <v>-0.09</v>
      </c>
      <c r="S63">
        <v>-0.11</v>
      </c>
      <c r="T63">
        <v>-0.20100000000000001</v>
      </c>
      <c r="U63">
        <v>-0.23799999999999999</v>
      </c>
      <c r="V63">
        <v>-0.32600000000000001</v>
      </c>
      <c r="W63">
        <v>-6.9000000000000006E-2</v>
      </c>
      <c r="X63">
        <v>-0.20100000000000001</v>
      </c>
      <c r="Y63">
        <v>0.13200000000000001</v>
      </c>
      <c r="Z63">
        <v>15.77</v>
      </c>
      <c r="AA63">
        <v>13.53</v>
      </c>
      <c r="AB63" t="s">
        <v>167</v>
      </c>
      <c r="AC63" t="s">
        <v>38</v>
      </c>
    </row>
    <row r="64" spans="1:29" x14ac:dyDescent="0.25">
      <c r="A64" t="s">
        <v>168</v>
      </c>
      <c r="B64" t="s">
        <v>30</v>
      </c>
      <c r="C64" s="1">
        <v>45967</v>
      </c>
      <c r="D64" s="2">
        <v>45967</v>
      </c>
      <c r="E64" t="s">
        <v>31</v>
      </c>
      <c r="G64" t="s">
        <v>40</v>
      </c>
      <c r="H64">
        <v>13</v>
      </c>
      <c r="I64">
        <v>-0.62</v>
      </c>
      <c r="J64">
        <v>-7.0000000000000007E-2</v>
      </c>
      <c r="K64">
        <v>-0.02</v>
      </c>
      <c r="L64">
        <v>67.430000000000007</v>
      </c>
      <c r="O64">
        <v>1900000000</v>
      </c>
      <c r="P64">
        <v>2.17</v>
      </c>
      <c r="Q64">
        <v>0.17299999999999999</v>
      </c>
      <c r="R64">
        <v>0.27600000000000002</v>
      </c>
      <c r="S64">
        <v>0.25800000000000001</v>
      </c>
      <c r="T64">
        <v>0.20799999999999999</v>
      </c>
      <c r="U64">
        <v>0.26600000000000001</v>
      </c>
      <c r="V64">
        <v>0.39400000000000002</v>
      </c>
      <c r="W64">
        <v>0.314</v>
      </c>
      <c r="X64">
        <v>0.17299999999999999</v>
      </c>
      <c r="Y64">
        <v>0.14099999999999999</v>
      </c>
      <c r="Z64">
        <v>17.079999999999998</v>
      </c>
      <c r="AA64">
        <v>15.25</v>
      </c>
      <c r="AB64" t="s">
        <v>169</v>
      </c>
      <c r="AC64" t="s">
        <v>47</v>
      </c>
    </row>
    <row r="65" spans="1:29" x14ac:dyDescent="0.25">
      <c r="A65" t="s">
        <v>170</v>
      </c>
      <c r="B65" t="s">
        <v>30</v>
      </c>
      <c r="C65" s="1">
        <v>45967</v>
      </c>
      <c r="D65" s="2">
        <v>45967</v>
      </c>
      <c r="E65" t="s">
        <v>31</v>
      </c>
      <c r="G65" t="s">
        <v>40</v>
      </c>
      <c r="H65">
        <v>56.82</v>
      </c>
      <c r="I65">
        <v>1.1000000000000001</v>
      </c>
      <c r="J65">
        <v>0.51</v>
      </c>
      <c r="K65">
        <v>0.51</v>
      </c>
      <c r="L65">
        <v>0.95</v>
      </c>
      <c r="M65">
        <v>48.92</v>
      </c>
      <c r="N65">
        <v>22.77</v>
      </c>
      <c r="O65">
        <v>3320000000</v>
      </c>
      <c r="P65">
        <v>0.87</v>
      </c>
      <c r="Q65">
        <v>-5.7000000000000002E-2</v>
      </c>
      <c r="R65">
        <v>-2.7E-2</v>
      </c>
      <c r="S65">
        <v>-2.4E-2</v>
      </c>
      <c r="T65">
        <v>-7.5999999999999998E-2</v>
      </c>
      <c r="U65">
        <v>-5.8999999999999997E-2</v>
      </c>
      <c r="V65">
        <v>-0.32</v>
      </c>
      <c r="W65">
        <v>-1.2999999999999999E-2</v>
      </c>
      <c r="X65">
        <v>-7.5999999999999998E-2</v>
      </c>
      <c r="Y65">
        <v>6.4000000000000001E-2</v>
      </c>
      <c r="Z65">
        <v>56.1</v>
      </c>
      <c r="AA65">
        <v>52.49</v>
      </c>
      <c r="AB65" t="s">
        <v>171</v>
      </c>
      <c r="AC65" t="s">
        <v>42</v>
      </c>
    </row>
    <row r="66" spans="1:29" x14ac:dyDescent="0.25">
      <c r="A66" t="s">
        <v>172</v>
      </c>
      <c r="B66" t="s">
        <v>30</v>
      </c>
      <c r="C66" s="1">
        <v>45967</v>
      </c>
      <c r="D66" s="2">
        <v>45967</v>
      </c>
      <c r="E66" t="s">
        <v>31</v>
      </c>
      <c r="G66" t="s">
        <v>40</v>
      </c>
      <c r="H66">
        <v>4.01</v>
      </c>
      <c r="I66">
        <v>-9.66</v>
      </c>
      <c r="J66">
        <v>-1.22</v>
      </c>
      <c r="K66">
        <v>-1.68</v>
      </c>
      <c r="L66">
        <v>-37.700000000000003</v>
      </c>
      <c r="O66">
        <v>15180000</v>
      </c>
      <c r="P66">
        <v>2.95</v>
      </c>
      <c r="Q66">
        <v>-0.04</v>
      </c>
      <c r="R66">
        <v>0.153</v>
      </c>
      <c r="S66">
        <v>0.17100000000000001</v>
      </c>
      <c r="T66">
        <v>0.14699999999999999</v>
      </c>
      <c r="U66">
        <v>0.13200000000000001</v>
      </c>
      <c r="V66">
        <v>8.2000000000000003E-2</v>
      </c>
      <c r="W66">
        <v>0.17199999999999999</v>
      </c>
      <c r="X66">
        <v>-0.04</v>
      </c>
      <c r="Y66">
        <v>0.21199999999999999</v>
      </c>
      <c r="Z66">
        <v>4.7</v>
      </c>
      <c r="AA66">
        <v>3.85</v>
      </c>
      <c r="AB66" t="s">
        <v>173</v>
      </c>
      <c r="AC66" t="s">
        <v>47</v>
      </c>
    </row>
    <row r="67" spans="1:29" x14ac:dyDescent="0.25">
      <c r="A67" t="s">
        <v>174</v>
      </c>
      <c r="B67" t="s">
        <v>30</v>
      </c>
      <c r="C67" s="1">
        <v>45967</v>
      </c>
      <c r="D67" s="2">
        <v>45967</v>
      </c>
      <c r="E67" t="s">
        <v>31</v>
      </c>
      <c r="G67" t="s">
        <v>40</v>
      </c>
      <c r="H67">
        <v>14.95</v>
      </c>
      <c r="I67">
        <v>0.94</v>
      </c>
      <c r="J67">
        <v>0.18</v>
      </c>
      <c r="K67">
        <v>0.12</v>
      </c>
      <c r="L67">
        <v>-32.71</v>
      </c>
      <c r="M67">
        <v>17.38</v>
      </c>
      <c r="N67">
        <v>13.29</v>
      </c>
      <c r="O67">
        <v>322650000</v>
      </c>
      <c r="P67">
        <v>2.16</v>
      </c>
      <c r="Q67">
        <v>-3.5000000000000003E-2</v>
      </c>
      <c r="R67">
        <v>2.1999999999999999E-2</v>
      </c>
      <c r="S67">
        <v>-4.4999999999999998E-2</v>
      </c>
      <c r="T67">
        <v>-8.4000000000000005E-2</v>
      </c>
      <c r="U67">
        <v>-0.158</v>
      </c>
      <c r="V67">
        <v>-0.21</v>
      </c>
      <c r="W67">
        <v>3.5000000000000003E-2</v>
      </c>
      <c r="X67">
        <v>-8.4000000000000005E-2</v>
      </c>
      <c r="Y67">
        <v>0.12</v>
      </c>
      <c r="Z67">
        <v>15.48</v>
      </c>
      <c r="AA67">
        <v>13.69</v>
      </c>
      <c r="AB67" t="s">
        <v>175</v>
      </c>
      <c r="AC67" t="s">
        <v>42</v>
      </c>
    </row>
    <row r="68" spans="1:29" x14ac:dyDescent="0.25">
      <c r="A68" t="s">
        <v>176</v>
      </c>
      <c r="B68" t="s">
        <v>30</v>
      </c>
      <c r="C68" s="1">
        <v>45967</v>
      </c>
      <c r="D68" s="2">
        <v>45967</v>
      </c>
      <c r="E68" t="s">
        <v>31</v>
      </c>
      <c r="G68" t="s">
        <v>32</v>
      </c>
      <c r="H68">
        <v>124.36</v>
      </c>
      <c r="I68">
        <v>4.25</v>
      </c>
      <c r="J68">
        <v>3.38</v>
      </c>
      <c r="K68">
        <v>3.67</v>
      </c>
      <c r="L68">
        <v>8.61</v>
      </c>
      <c r="M68">
        <v>29.29</v>
      </c>
      <c r="N68">
        <v>8.2799999999999994</v>
      </c>
      <c r="O68">
        <v>5500000000</v>
      </c>
      <c r="P68">
        <v>0.94</v>
      </c>
      <c r="Q68">
        <v>-0.123</v>
      </c>
      <c r="R68">
        <v>-0.1</v>
      </c>
      <c r="S68">
        <v>-0.123</v>
      </c>
      <c r="T68">
        <v>-0.16500000000000001</v>
      </c>
      <c r="U68">
        <v>-0.159</v>
      </c>
      <c r="V68">
        <v>-0.16600000000000001</v>
      </c>
      <c r="W68">
        <v>-0.1</v>
      </c>
      <c r="X68">
        <v>-0.16500000000000001</v>
      </c>
      <c r="Y68">
        <v>6.5000000000000002E-2</v>
      </c>
      <c r="Z68">
        <v>111.91</v>
      </c>
      <c r="AA68">
        <v>103.86</v>
      </c>
      <c r="AB68" t="s">
        <v>177</v>
      </c>
      <c r="AC68" t="s">
        <v>47</v>
      </c>
    </row>
    <row r="69" spans="1:29" x14ac:dyDescent="0.25">
      <c r="A69" t="s">
        <v>178</v>
      </c>
      <c r="B69" t="s">
        <v>30</v>
      </c>
      <c r="C69" s="1">
        <v>45967</v>
      </c>
      <c r="D69" s="2">
        <v>45967</v>
      </c>
      <c r="E69" t="s">
        <v>31</v>
      </c>
      <c r="G69" t="s">
        <v>40</v>
      </c>
      <c r="H69">
        <v>47.67</v>
      </c>
      <c r="I69">
        <v>-0.22</v>
      </c>
      <c r="J69">
        <v>0.15</v>
      </c>
      <c r="K69">
        <v>0.27</v>
      </c>
      <c r="L69">
        <v>74.849999999999994</v>
      </c>
      <c r="N69">
        <v>57.61</v>
      </c>
      <c r="O69">
        <v>7840000000</v>
      </c>
      <c r="P69">
        <v>1</v>
      </c>
      <c r="Q69">
        <v>3.1E-2</v>
      </c>
      <c r="R69">
        <v>2.5999999999999999E-2</v>
      </c>
      <c r="S69">
        <v>7.0000000000000001E-3</v>
      </c>
      <c r="T69">
        <v>0</v>
      </c>
      <c r="U69">
        <v>2.7E-2</v>
      </c>
      <c r="V69">
        <v>8.6999999999999994E-2</v>
      </c>
      <c r="W69">
        <v>3.1E-2</v>
      </c>
      <c r="X69">
        <v>-1E-3</v>
      </c>
      <c r="Y69">
        <v>3.2000000000000001E-2</v>
      </c>
      <c r="Z69">
        <v>49.16</v>
      </c>
      <c r="AA69">
        <v>47.62</v>
      </c>
      <c r="AB69" t="s">
        <v>179</v>
      </c>
      <c r="AC69" t="s">
        <v>52</v>
      </c>
    </row>
    <row r="70" spans="1:29" x14ac:dyDescent="0.25">
      <c r="A70" t="s">
        <v>180</v>
      </c>
      <c r="B70" t="s">
        <v>30</v>
      </c>
      <c r="C70" s="1">
        <v>45967</v>
      </c>
      <c r="D70" s="2">
        <v>45967</v>
      </c>
      <c r="E70" t="s">
        <v>31</v>
      </c>
      <c r="G70" t="s">
        <v>40</v>
      </c>
      <c r="H70">
        <v>47.5</v>
      </c>
      <c r="I70">
        <v>-0.43</v>
      </c>
      <c r="J70">
        <v>0.15</v>
      </c>
      <c r="K70">
        <v>0.16</v>
      </c>
      <c r="L70">
        <v>5.26</v>
      </c>
      <c r="N70">
        <v>115.22</v>
      </c>
      <c r="O70">
        <v>2160000000</v>
      </c>
      <c r="P70">
        <v>1.6</v>
      </c>
      <c r="Q70">
        <v>-5.5E-2</v>
      </c>
      <c r="R70">
        <v>-1.2999999999999999E-2</v>
      </c>
      <c r="S70">
        <v>-0.04</v>
      </c>
      <c r="T70">
        <v>-0.05</v>
      </c>
      <c r="U70">
        <v>-7.1999999999999995E-2</v>
      </c>
      <c r="V70">
        <v>-0.22900000000000001</v>
      </c>
      <c r="W70">
        <v>3.0000000000000001E-3</v>
      </c>
      <c r="X70">
        <v>-5.5E-2</v>
      </c>
      <c r="Y70">
        <v>5.8000000000000003E-2</v>
      </c>
      <c r="Z70">
        <v>47.63</v>
      </c>
      <c r="AA70">
        <v>44.87</v>
      </c>
      <c r="AB70" t="s">
        <v>181</v>
      </c>
      <c r="AC70" t="s">
        <v>47</v>
      </c>
    </row>
    <row r="71" spans="1:29" x14ac:dyDescent="0.25">
      <c r="A71" t="s">
        <v>182</v>
      </c>
      <c r="B71" t="s">
        <v>30</v>
      </c>
      <c r="C71" s="1">
        <v>45967</v>
      </c>
      <c r="D71" s="2">
        <v>45967</v>
      </c>
      <c r="E71" t="s">
        <v>31</v>
      </c>
      <c r="G71" t="s">
        <v>40</v>
      </c>
      <c r="H71">
        <v>219.33</v>
      </c>
      <c r="I71">
        <v>10.46</v>
      </c>
      <c r="J71">
        <v>6.95</v>
      </c>
      <c r="K71">
        <v>7.57</v>
      </c>
      <c r="L71">
        <v>8.99</v>
      </c>
      <c r="M71">
        <v>24.68</v>
      </c>
      <c r="N71">
        <v>14.63</v>
      </c>
      <c r="O71">
        <v>31950000000</v>
      </c>
      <c r="P71">
        <v>1.45</v>
      </c>
      <c r="Q71">
        <v>0.17499999999999999</v>
      </c>
      <c r="R71">
        <v>0.20799999999999999</v>
      </c>
      <c r="S71">
        <v>0.217</v>
      </c>
      <c r="T71">
        <v>0.111</v>
      </c>
      <c r="U71">
        <v>7.0000000000000007E-2</v>
      </c>
      <c r="V71">
        <v>-0.03</v>
      </c>
      <c r="W71">
        <v>0.246</v>
      </c>
      <c r="X71">
        <v>0.111</v>
      </c>
      <c r="Y71">
        <v>0.13400000000000001</v>
      </c>
      <c r="Z71">
        <v>273.19</v>
      </c>
      <c r="AA71">
        <v>243.75</v>
      </c>
      <c r="AB71" t="s">
        <v>183</v>
      </c>
      <c r="AC71" t="s">
        <v>64</v>
      </c>
    </row>
    <row r="72" spans="1:29" x14ac:dyDescent="0.25">
      <c r="A72" t="s">
        <v>184</v>
      </c>
      <c r="B72" t="s">
        <v>30</v>
      </c>
      <c r="C72" s="1">
        <v>45967</v>
      </c>
      <c r="D72" s="2">
        <v>45967</v>
      </c>
      <c r="E72" t="s">
        <v>31</v>
      </c>
      <c r="G72" t="s">
        <v>32</v>
      </c>
      <c r="H72">
        <v>0.59</v>
      </c>
      <c r="I72">
        <v>-1.22</v>
      </c>
      <c r="J72">
        <v>-0.06</v>
      </c>
      <c r="K72">
        <v>-0.03</v>
      </c>
      <c r="L72">
        <v>50</v>
      </c>
      <c r="N72">
        <v>5.72</v>
      </c>
      <c r="O72">
        <v>24210000</v>
      </c>
      <c r="P72">
        <v>1.55</v>
      </c>
      <c r="Q72">
        <v>-8.5000000000000006E-2</v>
      </c>
      <c r="R72">
        <v>3.4000000000000002E-2</v>
      </c>
      <c r="S72">
        <v>-1.7000000000000001E-2</v>
      </c>
      <c r="T72">
        <v>0.13600000000000001</v>
      </c>
      <c r="U72">
        <v>-5.0999999999999997E-2</v>
      </c>
      <c r="V72">
        <v>-6.8000000000000005E-2</v>
      </c>
      <c r="W72">
        <v>0.13600000000000001</v>
      </c>
      <c r="X72">
        <v>-8.5000000000000006E-2</v>
      </c>
      <c r="Y72">
        <v>0.22</v>
      </c>
      <c r="Z72">
        <v>0.67</v>
      </c>
      <c r="AA72">
        <v>0.54</v>
      </c>
      <c r="AB72" t="s">
        <v>185</v>
      </c>
      <c r="AC72" t="s">
        <v>47</v>
      </c>
    </row>
    <row r="73" spans="1:29" x14ac:dyDescent="0.25">
      <c r="A73" t="s">
        <v>186</v>
      </c>
      <c r="B73" t="s">
        <v>30</v>
      </c>
      <c r="C73" s="1">
        <v>45967</v>
      </c>
      <c r="D73" s="2">
        <v>45967</v>
      </c>
      <c r="E73" t="s">
        <v>31</v>
      </c>
      <c r="G73" t="s">
        <v>32</v>
      </c>
      <c r="H73">
        <v>19.309999999999999</v>
      </c>
      <c r="I73">
        <v>-3.46</v>
      </c>
      <c r="J73">
        <v>-0.68</v>
      </c>
      <c r="K73">
        <v>-0.69</v>
      </c>
      <c r="L73">
        <v>-1.05</v>
      </c>
      <c r="O73">
        <v>1090000000</v>
      </c>
      <c r="P73">
        <v>1.22</v>
      </c>
      <c r="Q73">
        <v>0.20399999999999999</v>
      </c>
      <c r="R73">
        <v>0.224</v>
      </c>
      <c r="S73">
        <v>0.23899999999999999</v>
      </c>
      <c r="T73">
        <v>0.22700000000000001</v>
      </c>
      <c r="U73">
        <v>0.28599999999999998</v>
      </c>
      <c r="V73">
        <v>4.1000000000000002E-2</v>
      </c>
      <c r="W73">
        <v>0.30199999999999999</v>
      </c>
      <c r="X73">
        <v>0.19800000000000001</v>
      </c>
      <c r="Y73">
        <v>0.104</v>
      </c>
      <c r="Z73">
        <v>25.14</v>
      </c>
      <c r="AA73">
        <v>23.13</v>
      </c>
      <c r="AB73" t="s">
        <v>187</v>
      </c>
      <c r="AC73" t="s">
        <v>47</v>
      </c>
    </row>
    <row r="74" spans="1:29" x14ac:dyDescent="0.25">
      <c r="A74" t="s">
        <v>188</v>
      </c>
      <c r="B74" t="s">
        <v>30</v>
      </c>
      <c r="C74" s="1">
        <v>45967</v>
      </c>
      <c r="D74" s="2">
        <v>45967</v>
      </c>
      <c r="E74" t="s">
        <v>31</v>
      </c>
      <c r="G74" t="s">
        <v>32</v>
      </c>
      <c r="H74">
        <v>13.59</v>
      </c>
      <c r="I74">
        <v>-0.73</v>
      </c>
      <c r="J74">
        <v>-0.23</v>
      </c>
      <c r="K74">
        <v>-0.23</v>
      </c>
      <c r="L74">
        <v>2.13</v>
      </c>
      <c r="O74">
        <v>837380000</v>
      </c>
      <c r="P74">
        <v>0.99</v>
      </c>
      <c r="Q74">
        <v>-7.0000000000000001E-3</v>
      </c>
      <c r="R74">
        <v>4.5999999999999999E-2</v>
      </c>
      <c r="S74">
        <v>0.01</v>
      </c>
      <c r="T74">
        <v>3.7999999999999999E-2</v>
      </c>
      <c r="U74">
        <v>2.9000000000000001E-2</v>
      </c>
      <c r="V74">
        <v>8.2000000000000003E-2</v>
      </c>
      <c r="W74">
        <v>0.104</v>
      </c>
      <c r="X74">
        <v>-7.0000000000000001E-3</v>
      </c>
      <c r="Y74">
        <v>0.11</v>
      </c>
      <c r="Z74">
        <v>15</v>
      </c>
      <c r="AA74">
        <v>13.5</v>
      </c>
      <c r="AB74" t="s">
        <v>189</v>
      </c>
      <c r="AC74" t="s">
        <v>47</v>
      </c>
    </row>
    <row r="75" spans="1:29" x14ac:dyDescent="0.25">
      <c r="A75" t="s">
        <v>190</v>
      </c>
      <c r="B75" t="s">
        <v>30</v>
      </c>
      <c r="C75" s="1">
        <v>45967</v>
      </c>
      <c r="D75" s="2">
        <v>45967</v>
      </c>
      <c r="E75" t="s">
        <v>31</v>
      </c>
      <c r="G75" t="s">
        <v>40</v>
      </c>
      <c r="H75">
        <v>0.49</v>
      </c>
      <c r="I75">
        <v>-0.63</v>
      </c>
      <c r="J75">
        <v>-0.06</v>
      </c>
      <c r="K75">
        <v>-0.06</v>
      </c>
      <c r="L75">
        <v>0</v>
      </c>
      <c r="O75">
        <v>27340000</v>
      </c>
      <c r="P75">
        <v>4.29</v>
      </c>
      <c r="Q75">
        <v>-6.2E-2</v>
      </c>
      <c r="R75">
        <v>-0.19600000000000001</v>
      </c>
      <c r="S75">
        <v>-1.4E-2</v>
      </c>
      <c r="T75">
        <v>-0.14599999999999999</v>
      </c>
      <c r="U75">
        <v>-0.216</v>
      </c>
      <c r="V75">
        <v>-0.48499999999999999</v>
      </c>
      <c r="W75">
        <v>5.6000000000000001E-2</v>
      </c>
      <c r="X75">
        <v>-0.19600000000000001</v>
      </c>
      <c r="Y75">
        <v>0.252</v>
      </c>
      <c r="Z75">
        <v>0.51</v>
      </c>
      <c r="AA75">
        <v>0.39</v>
      </c>
      <c r="AB75" t="s">
        <v>191</v>
      </c>
      <c r="AC75" t="s">
        <v>47</v>
      </c>
    </row>
    <row r="76" spans="1:29" x14ac:dyDescent="0.25">
      <c r="A76" t="s">
        <v>192</v>
      </c>
      <c r="B76" t="s">
        <v>30</v>
      </c>
      <c r="C76" s="1">
        <v>45967</v>
      </c>
      <c r="D76" s="2">
        <v>45967</v>
      </c>
      <c r="E76" t="s">
        <v>31</v>
      </c>
      <c r="G76" t="s">
        <v>32</v>
      </c>
      <c r="H76">
        <v>5</v>
      </c>
      <c r="I76">
        <v>-0.32</v>
      </c>
      <c r="J76">
        <v>-0.19</v>
      </c>
      <c r="K76">
        <v>0.36</v>
      </c>
      <c r="L76">
        <v>284.62</v>
      </c>
      <c r="O76">
        <v>26420000</v>
      </c>
      <c r="P76">
        <v>-1.02</v>
      </c>
      <c r="Q76">
        <v>0</v>
      </c>
      <c r="R76">
        <v>0.128</v>
      </c>
      <c r="S76">
        <v>0.05</v>
      </c>
      <c r="T76">
        <v>-1.2999999999999999E-2</v>
      </c>
      <c r="U76">
        <v>-2.4E-2</v>
      </c>
      <c r="V76">
        <v>-3.5999999999999997E-2</v>
      </c>
      <c r="W76">
        <v>0.128</v>
      </c>
      <c r="X76">
        <v>-1.2999999999999999E-2</v>
      </c>
      <c r="Y76">
        <v>0.14099999999999999</v>
      </c>
      <c r="Z76">
        <v>5.64</v>
      </c>
      <c r="AA76">
        <v>4.9400000000000004</v>
      </c>
      <c r="AB76" t="s">
        <v>193</v>
      </c>
      <c r="AC76" t="s">
        <v>47</v>
      </c>
    </row>
    <row r="77" spans="1:29" x14ac:dyDescent="0.25">
      <c r="A77" t="s">
        <v>194</v>
      </c>
      <c r="B77" t="s">
        <v>88</v>
      </c>
      <c r="C77" s="1">
        <v>45967</v>
      </c>
      <c r="D77" s="2">
        <v>45967</v>
      </c>
      <c r="E77" t="s">
        <v>31</v>
      </c>
      <c r="G77" t="s">
        <v>40</v>
      </c>
      <c r="H77">
        <v>68.61</v>
      </c>
      <c r="I77">
        <v>-1.17</v>
      </c>
      <c r="J77">
        <v>1.06</v>
      </c>
      <c r="K77">
        <v>1.0900000000000001</v>
      </c>
      <c r="L77">
        <v>2.44</v>
      </c>
      <c r="N77">
        <v>12.42</v>
      </c>
      <c r="O77">
        <v>2580000000</v>
      </c>
      <c r="P77">
        <v>1.76</v>
      </c>
      <c r="Q77">
        <v>-3.6999999999999998E-2</v>
      </c>
      <c r="R77">
        <v>-0.01</v>
      </c>
      <c r="S77">
        <v>-4.5999999999999999E-2</v>
      </c>
      <c r="T77">
        <v>-9.8000000000000004E-2</v>
      </c>
      <c r="U77">
        <v>-0.14699999999999999</v>
      </c>
      <c r="V77">
        <v>0.32400000000000001</v>
      </c>
      <c r="W77">
        <v>-6.0000000000000001E-3</v>
      </c>
      <c r="X77">
        <v>-9.8000000000000004E-2</v>
      </c>
      <c r="Y77">
        <v>9.1999999999999998E-2</v>
      </c>
      <c r="Z77">
        <v>68.22</v>
      </c>
      <c r="AA77">
        <v>61.89</v>
      </c>
      <c r="AB77" t="s">
        <v>195</v>
      </c>
      <c r="AC77" t="s">
        <v>42</v>
      </c>
    </row>
    <row r="78" spans="1:29" x14ac:dyDescent="0.25">
      <c r="A78" t="s">
        <v>196</v>
      </c>
      <c r="B78" t="s">
        <v>30</v>
      </c>
      <c r="C78" s="1">
        <v>45967</v>
      </c>
      <c r="D78" s="2">
        <v>45967</v>
      </c>
      <c r="E78" t="s">
        <v>31</v>
      </c>
      <c r="G78" t="s">
        <v>40</v>
      </c>
      <c r="H78">
        <v>70.930000000000007</v>
      </c>
      <c r="I78">
        <v>4.67</v>
      </c>
      <c r="J78">
        <v>0.66</v>
      </c>
      <c r="K78">
        <v>0.54</v>
      </c>
      <c r="L78">
        <v>-18.09</v>
      </c>
      <c r="M78">
        <v>15.53</v>
      </c>
      <c r="N78">
        <v>20.45</v>
      </c>
      <c r="O78">
        <v>44240000000</v>
      </c>
      <c r="P78">
        <v>2.65</v>
      </c>
      <c r="Q78">
        <v>-7.6999999999999999E-2</v>
      </c>
      <c r="R78">
        <v>-7.0999999999999994E-2</v>
      </c>
      <c r="S78">
        <v>-0.122</v>
      </c>
      <c r="T78">
        <v>-0.17</v>
      </c>
      <c r="U78">
        <v>-0.127</v>
      </c>
      <c r="V78">
        <v>-0.29799999999999999</v>
      </c>
      <c r="W78">
        <v>-5.8000000000000003E-2</v>
      </c>
      <c r="X78">
        <v>-0.17</v>
      </c>
      <c r="Y78">
        <v>0.112</v>
      </c>
      <c r="Z78">
        <v>66.8</v>
      </c>
      <c r="AA78">
        <v>58.89</v>
      </c>
      <c r="AB78" t="s">
        <v>197</v>
      </c>
      <c r="AC78" t="s">
        <v>42</v>
      </c>
    </row>
    <row r="79" spans="1:29" x14ac:dyDescent="0.25">
      <c r="A79" t="s">
        <v>198</v>
      </c>
      <c r="B79" t="s">
        <v>30</v>
      </c>
      <c r="C79" s="1">
        <v>45967</v>
      </c>
      <c r="D79" s="2">
        <v>45967</v>
      </c>
      <c r="E79" t="s">
        <v>31</v>
      </c>
      <c r="G79" t="s">
        <v>40</v>
      </c>
      <c r="H79">
        <v>7.61</v>
      </c>
      <c r="I79">
        <v>-10.55</v>
      </c>
      <c r="J79">
        <v>-2.67</v>
      </c>
      <c r="K79">
        <v>-2.4</v>
      </c>
      <c r="L79">
        <v>10.31</v>
      </c>
      <c r="O79">
        <v>66310000</v>
      </c>
      <c r="P79">
        <v>1.93</v>
      </c>
      <c r="Q79">
        <v>-0.21199999999999999</v>
      </c>
      <c r="R79">
        <v>-0.218</v>
      </c>
      <c r="S79">
        <v>-0.27200000000000002</v>
      </c>
      <c r="T79">
        <v>-0.35699999999999998</v>
      </c>
      <c r="U79">
        <v>-0.42399999999999999</v>
      </c>
      <c r="V79">
        <v>-0.60599999999999998</v>
      </c>
      <c r="W79">
        <v>-0.21199999999999999</v>
      </c>
      <c r="X79">
        <v>-0.35699999999999998</v>
      </c>
      <c r="Y79">
        <v>0.14599999999999999</v>
      </c>
      <c r="Z79">
        <v>6</v>
      </c>
      <c r="AA79">
        <v>4.8899999999999997</v>
      </c>
      <c r="AB79" t="s">
        <v>199</v>
      </c>
      <c r="AC79" t="s">
        <v>64</v>
      </c>
    </row>
    <row r="80" spans="1:29" x14ac:dyDescent="0.25">
      <c r="A80" t="s">
        <v>200</v>
      </c>
      <c r="B80" t="s">
        <v>30</v>
      </c>
      <c r="C80" s="1">
        <v>45967</v>
      </c>
      <c r="D80" s="2">
        <v>45967</v>
      </c>
      <c r="E80" t="s">
        <v>31</v>
      </c>
      <c r="G80" t="s">
        <v>40</v>
      </c>
      <c r="H80">
        <v>10.73</v>
      </c>
      <c r="I80">
        <v>0.56000000000000005</v>
      </c>
      <c r="J80">
        <v>0.06</v>
      </c>
      <c r="K80">
        <v>-0.02</v>
      </c>
      <c r="L80">
        <v>-139.11000000000001</v>
      </c>
      <c r="M80">
        <v>19.28</v>
      </c>
      <c r="N80">
        <v>13.16</v>
      </c>
      <c r="O80">
        <v>1260000000</v>
      </c>
      <c r="P80">
        <v>0.83</v>
      </c>
      <c r="Q80">
        <v>7.0000000000000001E-3</v>
      </c>
      <c r="R80">
        <v>5.5E-2</v>
      </c>
      <c r="S80">
        <v>6.8000000000000005E-2</v>
      </c>
      <c r="T80">
        <v>9.0999999999999998E-2</v>
      </c>
      <c r="U80">
        <v>5.1999999999999998E-2</v>
      </c>
      <c r="V80">
        <v>6.9000000000000006E-2</v>
      </c>
      <c r="W80">
        <v>0.10199999999999999</v>
      </c>
      <c r="X80">
        <v>7.0000000000000001E-3</v>
      </c>
      <c r="Y80">
        <v>9.5000000000000001E-2</v>
      </c>
      <c r="Z80">
        <v>11.82</v>
      </c>
      <c r="AA80">
        <v>10.8</v>
      </c>
      <c r="AB80" t="s">
        <v>201</v>
      </c>
      <c r="AC80" t="s">
        <v>158</v>
      </c>
    </row>
    <row r="81" spans="1:29" x14ac:dyDescent="0.25">
      <c r="A81" t="s">
        <v>202</v>
      </c>
      <c r="B81" t="s">
        <v>30</v>
      </c>
      <c r="C81" s="1">
        <v>45967</v>
      </c>
      <c r="D81" s="2">
        <v>45967</v>
      </c>
      <c r="E81" t="s">
        <v>31</v>
      </c>
      <c r="G81" t="s">
        <v>32</v>
      </c>
      <c r="H81">
        <v>49.3</v>
      </c>
      <c r="I81">
        <v>4.8099999999999996</v>
      </c>
      <c r="J81">
        <v>0.94</v>
      </c>
      <c r="K81">
        <v>1.1499999999999999</v>
      </c>
      <c r="L81">
        <v>22.26</v>
      </c>
      <c r="M81">
        <v>10.23</v>
      </c>
      <c r="N81">
        <v>7.92</v>
      </c>
      <c r="O81">
        <v>2430000000</v>
      </c>
      <c r="P81">
        <v>-0.19</v>
      </c>
      <c r="Q81">
        <v>6.3E-2</v>
      </c>
      <c r="R81">
        <v>0.06</v>
      </c>
      <c r="S81">
        <v>6.9000000000000006E-2</v>
      </c>
      <c r="T81">
        <v>6.9000000000000006E-2</v>
      </c>
      <c r="U81">
        <v>5.7000000000000002E-2</v>
      </c>
      <c r="V81">
        <v>0.29699999999999999</v>
      </c>
      <c r="W81">
        <v>7.6999999999999999E-2</v>
      </c>
      <c r="X81">
        <v>0.06</v>
      </c>
      <c r="Y81">
        <v>1.6E-2</v>
      </c>
      <c r="Z81">
        <v>53.08</v>
      </c>
      <c r="AA81">
        <v>52.27</v>
      </c>
      <c r="AB81" t="s">
        <v>203</v>
      </c>
      <c r="AC81" t="s">
        <v>34</v>
      </c>
    </row>
    <row r="82" spans="1:29" x14ac:dyDescent="0.25">
      <c r="A82" t="s">
        <v>204</v>
      </c>
      <c r="B82" t="s">
        <v>30</v>
      </c>
      <c r="C82" s="1">
        <v>45967</v>
      </c>
      <c r="D82" s="2">
        <v>45967</v>
      </c>
      <c r="E82" t="s">
        <v>31</v>
      </c>
      <c r="G82" t="s">
        <v>40</v>
      </c>
      <c r="H82">
        <v>61.71</v>
      </c>
      <c r="I82">
        <v>2.59</v>
      </c>
      <c r="J82">
        <v>0.78</v>
      </c>
      <c r="K82">
        <v>1.18</v>
      </c>
      <c r="L82">
        <v>51.14</v>
      </c>
      <c r="M82">
        <v>23.8</v>
      </c>
      <c r="N82">
        <v>16.920000000000002</v>
      </c>
      <c r="O82">
        <v>8330000000</v>
      </c>
      <c r="P82">
        <v>1.1200000000000001</v>
      </c>
      <c r="Q82">
        <v>0.35899999999999999</v>
      </c>
      <c r="R82">
        <v>0.376</v>
      </c>
      <c r="S82">
        <v>0.36099999999999999</v>
      </c>
      <c r="T82">
        <v>0.35499999999999998</v>
      </c>
      <c r="U82">
        <v>0.33300000000000002</v>
      </c>
      <c r="V82">
        <v>0.42699999999999999</v>
      </c>
      <c r="W82">
        <v>0.39900000000000002</v>
      </c>
      <c r="X82">
        <v>0.35499999999999998</v>
      </c>
      <c r="Y82">
        <v>4.3999999999999997E-2</v>
      </c>
      <c r="Z82">
        <v>86.36</v>
      </c>
      <c r="AA82">
        <v>83.64</v>
      </c>
      <c r="AB82" t="s">
        <v>205</v>
      </c>
      <c r="AC82" t="s">
        <v>47</v>
      </c>
    </row>
    <row r="83" spans="1:29" x14ac:dyDescent="0.25">
      <c r="A83" t="s">
        <v>206</v>
      </c>
      <c r="B83" t="s">
        <v>88</v>
      </c>
      <c r="C83" s="1">
        <v>45967</v>
      </c>
      <c r="D83" s="2">
        <v>45967</v>
      </c>
      <c r="E83" t="s">
        <v>31</v>
      </c>
      <c r="G83" t="s">
        <v>32</v>
      </c>
      <c r="H83">
        <v>771.04</v>
      </c>
      <c r="I83">
        <v>28.07</v>
      </c>
      <c r="J83">
        <v>6.62</v>
      </c>
      <c r="K83">
        <v>7.22</v>
      </c>
      <c r="L83">
        <v>9.01</v>
      </c>
      <c r="M83">
        <v>30.07</v>
      </c>
      <c r="N83">
        <v>25.85</v>
      </c>
      <c r="O83">
        <v>107000000000</v>
      </c>
      <c r="P83">
        <v>1.23</v>
      </c>
      <c r="Q83">
        <v>9.2999999999999999E-2</v>
      </c>
      <c r="R83">
        <v>0.111</v>
      </c>
      <c r="S83">
        <v>0.09</v>
      </c>
      <c r="T83">
        <v>6.3E-2</v>
      </c>
      <c r="U83">
        <v>6.0999999999999999E-2</v>
      </c>
      <c r="V83">
        <v>0.29899999999999999</v>
      </c>
      <c r="W83">
        <v>0.111</v>
      </c>
      <c r="X83">
        <v>6.3E-2</v>
      </c>
      <c r="Y83">
        <v>4.8000000000000001E-2</v>
      </c>
      <c r="Z83">
        <v>856.33</v>
      </c>
      <c r="AA83">
        <v>819.44</v>
      </c>
      <c r="AB83" t="s">
        <v>207</v>
      </c>
      <c r="AC83" t="s">
        <v>38</v>
      </c>
    </row>
    <row r="84" spans="1:29" x14ac:dyDescent="0.25">
      <c r="A84" t="s">
        <v>208</v>
      </c>
      <c r="B84" t="s">
        <v>30</v>
      </c>
      <c r="C84" s="1">
        <v>45967</v>
      </c>
      <c r="D84" s="2">
        <v>45967</v>
      </c>
      <c r="E84" t="s">
        <v>31</v>
      </c>
      <c r="G84" t="s">
        <v>32</v>
      </c>
      <c r="H84">
        <v>4.07</v>
      </c>
      <c r="I84">
        <v>-0.36</v>
      </c>
      <c r="O84">
        <v>727990000</v>
      </c>
      <c r="P84">
        <v>-0.14000000000000001</v>
      </c>
      <c r="Q84">
        <v>-9.2999999999999999E-2</v>
      </c>
      <c r="R84">
        <v>-2E-3</v>
      </c>
      <c r="S84">
        <v>-4.3999999999999997E-2</v>
      </c>
      <c r="T84">
        <v>-6.4000000000000001E-2</v>
      </c>
      <c r="U84">
        <v>-6.0999999999999999E-2</v>
      </c>
      <c r="V84">
        <v>-0.26</v>
      </c>
      <c r="W84">
        <v>-2E-3</v>
      </c>
      <c r="X84">
        <v>-9.2999999999999999E-2</v>
      </c>
      <c r="Y84">
        <v>9.0999999999999998E-2</v>
      </c>
      <c r="Z84">
        <v>4.0599999999999996</v>
      </c>
      <c r="AA84">
        <v>3.69</v>
      </c>
      <c r="AB84" t="s">
        <v>209</v>
      </c>
      <c r="AC84" t="s">
        <v>64</v>
      </c>
    </row>
    <row r="85" spans="1:29" x14ac:dyDescent="0.25">
      <c r="A85" t="s">
        <v>210</v>
      </c>
      <c r="B85" t="s">
        <v>30</v>
      </c>
      <c r="C85" s="1">
        <v>45967</v>
      </c>
      <c r="D85" s="2">
        <v>45967</v>
      </c>
      <c r="E85" t="s">
        <v>31</v>
      </c>
      <c r="G85" t="s">
        <v>40</v>
      </c>
      <c r="H85">
        <v>51.8</v>
      </c>
      <c r="I85">
        <v>1.37</v>
      </c>
      <c r="J85">
        <v>0.38</v>
      </c>
      <c r="K85">
        <v>0.37</v>
      </c>
      <c r="L85">
        <v>-3.48</v>
      </c>
      <c r="M85">
        <v>37.14</v>
      </c>
      <c r="N85">
        <v>22.69</v>
      </c>
      <c r="O85">
        <v>2360000000</v>
      </c>
      <c r="P85">
        <v>1.64</v>
      </c>
      <c r="Q85">
        <v>-0.14499999999999999</v>
      </c>
      <c r="R85">
        <v>-9.5000000000000001E-2</v>
      </c>
      <c r="S85">
        <v>-0.13100000000000001</v>
      </c>
      <c r="T85">
        <v>-0.156</v>
      </c>
      <c r="U85">
        <v>-0.182</v>
      </c>
      <c r="V85">
        <v>0.372</v>
      </c>
      <c r="W85">
        <v>-9.5000000000000001E-2</v>
      </c>
      <c r="X85">
        <v>-0.156</v>
      </c>
      <c r="Y85">
        <v>6.0999999999999999E-2</v>
      </c>
      <c r="Z85">
        <v>46.89</v>
      </c>
      <c r="AA85">
        <v>43.74</v>
      </c>
      <c r="AB85" t="s">
        <v>211</v>
      </c>
      <c r="AC85" t="s">
        <v>42</v>
      </c>
    </row>
    <row r="86" spans="1:29" x14ac:dyDescent="0.25">
      <c r="A86" t="s">
        <v>212</v>
      </c>
      <c r="B86" t="s">
        <v>36</v>
      </c>
      <c r="C86" s="1">
        <v>45967</v>
      </c>
      <c r="D86" s="2">
        <v>45967</v>
      </c>
      <c r="E86" t="s">
        <v>31</v>
      </c>
      <c r="G86" t="s">
        <v>32</v>
      </c>
      <c r="H86">
        <v>50.72</v>
      </c>
      <c r="I86">
        <v>3.43</v>
      </c>
      <c r="J86">
        <v>1.1100000000000001</v>
      </c>
      <c r="K86">
        <v>1.27</v>
      </c>
      <c r="L86">
        <v>14.35</v>
      </c>
      <c r="M86">
        <v>19.940000000000001</v>
      </c>
      <c r="N86">
        <v>12.48</v>
      </c>
      <c r="O86">
        <v>3200000000</v>
      </c>
      <c r="P86">
        <v>0.27</v>
      </c>
      <c r="Q86">
        <v>0.34799999999999998</v>
      </c>
      <c r="R86">
        <v>0.41399999999999998</v>
      </c>
      <c r="S86">
        <v>0.45700000000000002</v>
      </c>
      <c r="T86">
        <v>0.46500000000000002</v>
      </c>
      <c r="U86">
        <v>0.48099999999999998</v>
      </c>
      <c r="V86">
        <v>0.13900000000000001</v>
      </c>
      <c r="W86">
        <v>0.46500000000000002</v>
      </c>
      <c r="X86">
        <v>0.34799999999999998</v>
      </c>
      <c r="Y86">
        <v>0.11799999999999999</v>
      </c>
      <c r="Z86">
        <v>74.319999999999993</v>
      </c>
      <c r="AA86">
        <v>68.36</v>
      </c>
      <c r="AB86" t="s">
        <v>213</v>
      </c>
      <c r="AC86" t="s">
        <v>47</v>
      </c>
    </row>
    <row r="87" spans="1:29" x14ac:dyDescent="0.25">
      <c r="A87" t="s">
        <v>214</v>
      </c>
      <c r="B87" t="s">
        <v>36</v>
      </c>
      <c r="C87" s="1">
        <v>45967</v>
      </c>
      <c r="D87" s="2">
        <v>45967</v>
      </c>
      <c r="E87" t="s">
        <v>31</v>
      </c>
      <c r="G87" t="s">
        <v>40</v>
      </c>
      <c r="H87">
        <v>73.17</v>
      </c>
      <c r="I87">
        <v>4.3</v>
      </c>
      <c r="J87">
        <v>0.95</v>
      </c>
      <c r="K87">
        <v>1.53</v>
      </c>
      <c r="L87">
        <v>61.9</v>
      </c>
      <c r="M87">
        <v>17.059999999999999</v>
      </c>
      <c r="N87">
        <v>16.2</v>
      </c>
      <c r="O87">
        <v>1950000000</v>
      </c>
      <c r="P87">
        <v>1.03</v>
      </c>
      <c r="Q87">
        <v>0.157</v>
      </c>
      <c r="R87">
        <v>0.224</v>
      </c>
      <c r="S87">
        <v>0.23400000000000001</v>
      </c>
      <c r="T87">
        <v>0.193</v>
      </c>
      <c r="U87">
        <v>0.19500000000000001</v>
      </c>
      <c r="V87">
        <v>0.14599999999999999</v>
      </c>
      <c r="W87">
        <v>0.248</v>
      </c>
      <c r="X87">
        <v>0.157</v>
      </c>
      <c r="Y87">
        <v>9.0999999999999998E-2</v>
      </c>
      <c r="Z87">
        <v>91.3</v>
      </c>
      <c r="AA87">
        <v>84.65</v>
      </c>
      <c r="AB87" t="s">
        <v>215</v>
      </c>
      <c r="AC87" t="s">
        <v>42</v>
      </c>
    </row>
    <row r="88" spans="1:29" x14ac:dyDescent="0.25">
      <c r="A88" t="s">
        <v>216</v>
      </c>
      <c r="B88" t="s">
        <v>30</v>
      </c>
      <c r="C88" s="1">
        <v>45967</v>
      </c>
      <c r="D88" s="2">
        <v>45967</v>
      </c>
      <c r="E88" t="s">
        <v>31</v>
      </c>
      <c r="G88" t="s">
        <v>40</v>
      </c>
      <c r="H88">
        <v>19.239999999999998</v>
      </c>
      <c r="I88">
        <v>-8.67</v>
      </c>
      <c r="O88">
        <v>206840000</v>
      </c>
      <c r="P88">
        <v>1</v>
      </c>
      <c r="Q88">
        <v>3.6999999999999998E-2</v>
      </c>
      <c r="R88">
        <v>0.161</v>
      </c>
      <c r="S88">
        <v>8.5999999999999993E-2</v>
      </c>
      <c r="T88">
        <v>4.2000000000000003E-2</v>
      </c>
      <c r="U88">
        <v>5.3999999999999999E-2</v>
      </c>
      <c r="V88">
        <v>-2.5999999999999999E-2</v>
      </c>
      <c r="W88">
        <v>0.161</v>
      </c>
      <c r="X88">
        <v>3.6999999999999998E-2</v>
      </c>
      <c r="Y88">
        <v>0.124</v>
      </c>
      <c r="Z88">
        <v>22.34</v>
      </c>
      <c r="AA88">
        <v>19.95</v>
      </c>
      <c r="AB88" t="s">
        <v>217</v>
      </c>
      <c r="AC88" t="s">
        <v>42</v>
      </c>
    </row>
    <row r="89" spans="1:29" x14ac:dyDescent="0.25">
      <c r="A89" t="s">
        <v>218</v>
      </c>
      <c r="B89" t="s">
        <v>30</v>
      </c>
      <c r="C89" s="1">
        <v>45967</v>
      </c>
      <c r="D89" s="2">
        <v>45967</v>
      </c>
      <c r="E89" t="s">
        <v>31</v>
      </c>
      <c r="G89" t="s">
        <v>40</v>
      </c>
      <c r="H89">
        <v>9.27</v>
      </c>
      <c r="I89">
        <v>-8.1300000000000008</v>
      </c>
      <c r="J89">
        <v>-0.22</v>
      </c>
      <c r="K89">
        <v>-0.05</v>
      </c>
      <c r="L89">
        <v>76.930000000000007</v>
      </c>
      <c r="O89">
        <v>1950000000</v>
      </c>
      <c r="P89">
        <v>0.97</v>
      </c>
      <c r="Q89">
        <v>0.14299999999999999</v>
      </c>
      <c r="R89">
        <v>0.11700000000000001</v>
      </c>
      <c r="S89">
        <v>0.14099999999999999</v>
      </c>
      <c r="T89">
        <v>0.17399999999999999</v>
      </c>
      <c r="U89">
        <v>0.05</v>
      </c>
      <c r="V89">
        <v>0.35799999999999998</v>
      </c>
      <c r="W89">
        <v>0.216</v>
      </c>
      <c r="X89">
        <v>0.11700000000000001</v>
      </c>
      <c r="Y89">
        <v>9.9000000000000005E-2</v>
      </c>
      <c r="Z89">
        <v>11.27</v>
      </c>
      <c r="AA89">
        <v>10.35</v>
      </c>
      <c r="AB89" t="s">
        <v>219</v>
      </c>
      <c r="AC89" t="s">
        <v>64</v>
      </c>
    </row>
    <row r="90" spans="1:29" x14ac:dyDescent="0.25">
      <c r="A90" t="s">
        <v>220</v>
      </c>
      <c r="B90" t="s">
        <v>30</v>
      </c>
      <c r="C90" s="1">
        <v>45967</v>
      </c>
      <c r="D90" s="2">
        <v>45967</v>
      </c>
      <c r="E90" t="s">
        <v>31</v>
      </c>
      <c r="G90" t="s">
        <v>40</v>
      </c>
      <c r="H90">
        <v>5</v>
      </c>
      <c r="I90">
        <v>-0.96</v>
      </c>
      <c r="J90">
        <v>-0.26</v>
      </c>
      <c r="K90">
        <v>-0.16</v>
      </c>
      <c r="L90">
        <v>38.61</v>
      </c>
      <c r="O90">
        <v>260790000</v>
      </c>
      <c r="P90">
        <v>2.46</v>
      </c>
      <c r="Q90">
        <v>0.16400000000000001</v>
      </c>
      <c r="R90">
        <v>0.40799999999999997</v>
      </c>
      <c r="S90">
        <v>0.41</v>
      </c>
      <c r="T90">
        <v>0.40600000000000003</v>
      </c>
      <c r="U90">
        <v>0.32800000000000001</v>
      </c>
      <c r="V90">
        <v>7.1999999999999995E-2</v>
      </c>
      <c r="W90">
        <v>0.54400000000000004</v>
      </c>
      <c r="X90">
        <v>0.16400000000000001</v>
      </c>
      <c r="Y90">
        <v>0.38</v>
      </c>
      <c r="Z90">
        <v>7.72</v>
      </c>
      <c r="AA90">
        <v>5.82</v>
      </c>
      <c r="AB90" t="s">
        <v>221</v>
      </c>
      <c r="AC90" t="s">
        <v>47</v>
      </c>
    </row>
    <row r="91" spans="1:29" x14ac:dyDescent="0.25">
      <c r="A91" t="s">
        <v>222</v>
      </c>
      <c r="B91" t="s">
        <v>30</v>
      </c>
      <c r="C91" s="1">
        <v>45968</v>
      </c>
      <c r="D91" s="2">
        <v>45967</v>
      </c>
      <c r="E91" t="s">
        <v>223</v>
      </c>
      <c r="G91" t="s">
        <v>40</v>
      </c>
      <c r="H91">
        <v>66.010000000000005</v>
      </c>
      <c r="I91">
        <v>14.67</v>
      </c>
      <c r="J91">
        <v>5.03</v>
      </c>
      <c r="K91">
        <v>4.54</v>
      </c>
      <c r="L91">
        <v>-9.69</v>
      </c>
      <c r="M91">
        <v>4.5</v>
      </c>
      <c r="N91">
        <v>3.09</v>
      </c>
      <c r="O91">
        <v>3770000000</v>
      </c>
      <c r="P91">
        <v>0.94</v>
      </c>
      <c r="Q91">
        <v>-2E-3</v>
      </c>
      <c r="R91">
        <v>-3.0000000000000001E-3</v>
      </c>
      <c r="S91">
        <v>-3.0000000000000001E-3</v>
      </c>
      <c r="T91">
        <v>-3.0000000000000001E-3</v>
      </c>
      <c r="U91">
        <v>-7.0000000000000001E-3</v>
      </c>
      <c r="V91">
        <v>-3.3000000000000002E-2</v>
      </c>
      <c r="W91">
        <v>-2E-3</v>
      </c>
      <c r="X91">
        <v>-6.0000000000000001E-3</v>
      </c>
      <c r="Y91">
        <v>4.0000000000000001E-3</v>
      </c>
      <c r="Z91">
        <v>65.91</v>
      </c>
      <c r="AA91">
        <v>65.62</v>
      </c>
      <c r="AB91" t="s">
        <v>224</v>
      </c>
      <c r="AC91" t="s">
        <v>94</v>
      </c>
    </row>
    <row r="92" spans="1:29" x14ac:dyDescent="0.25">
      <c r="A92" t="s">
        <v>225</v>
      </c>
      <c r="B92" t="s">
        <v>30</v>
      </c>
      <c r="C92" s="1">
        <v>45968</v>
      </c>
      <c r="D92" s="2">
        <v>45968</v>
      </c>
      <c r="E92" t="s">
        <v>31</v>
      </c>
      <c r="G92" t="s">
        <v>32</v>
      </c>
      <c r="H92">
        <v>3.48</v>
      </c>
      <c r="I92">
        <v>-0.55000000000000004</v>
      </c>
      <c r="J92">
        <v>-0.13</v>
      </c>
      <c r="K92">
        <v>-0.1</v>
      </c>
      <c r="L92">
        <v>23.08</v>
      </c>
      <c r="O92">
        <v>128680000</v>
      </c>
      <c r="P92">
        <v>1.1100000000000001</v>
      </c>
      <c r="Q92">
        <v>0.187</v>
      </c>
      <c r="R92">
        <v>0.42199999999999999</v>
      </c>
      <c r="S92">
        <v>0.42499999999999999</v>
      </c>
      <c r="T92">
        <v>0.379</v>
      </c>
      <c r="U92">
        <v>0.44</v>
      </c>
      <c r="V92">
        <v>0.52900000000000003</v>
      </c>
      <c r="W92">
        <v>0.42499999999999999</v>
      </c>
      <c r="X92">
        <v>0.187</v>
      </c>
      <c r="Y92">
        <v>0.23899999999999999</v>
      </c>
      <c r="Z92">
        <v>4.96</v>
      </c>
      <c r="AA92">
        <v>4.13</v>
      </c>
      <c r="AB92" t="s">
        <v>226</v>
      </c>
      <c r="AC92" t="s">
        <v>64</v>
      </c>
    </row>
    <row r="93" spans="1:29" x14ac:dyDescent="0.25">
      <c r="A93" t="s">
        <v>227</v>
      </c>
      <c r="B93" t="s">
        <v>30</v>
      </c>
      <c r="C93" s="1">
        <v>45968</v>
      </c>
      <c r="D93" s="2">
        <v>45968</v>
      </c>
      <c r="E93" t="s">
        <v>31</v>
      </c>
      <c r="G93" t="s">
        <v>32</v>
      </c>
      <c r="H93">
        <v>6.17</v>
      </c>
      <c r="I93">
        <v>0.34</v>
      </c>
      <c r="J93">
        <v>0.1</v>
      </c>
      <c r="K93">
        <v>7.0000000000000007E-2</v>
      </c>
      <c r="L93">
        <v>-26.73</v>
      </c>
      <c r="M93">
        <v>19.03</v>
      </c>
      <c r="N93">
        <v>11.72</v>
      </c>
      <c r="O93">
        <v>777250000</v>
      </c>
      <c r="P93">
        <v>1.57</v>
      </c>
      <c r="Q93">
        <v>0</v>
      </c>
      <c r="R93">
        <v>5.1999999999999998E-2</v>
      </c>
      <c r="S93">
        <v>2E-3</v>
      </c>
      <c r="T93">
        <v>-2.3E-2</v>
      </c>
      <c r="U93">
        <v>0.01</v>
      </c>
      <c r="V93">
        <v>0.17499999999999999</v>
      </c>
      <c r="W93">
        <v>5.1999999999999998E-2</v>
      </c>
      <c r="X93">
        <v>-2.3E-2</v>
      </c>
      <c r="Y93">
        <v>7.4999999999999997E-2</v>
      </c>
      <c r="Z93">
        <v>6.49</v>
      </c>
      <c r="AA93">
        <v>6.03</v>
      </c>
      <c r="AB93" t="s">
        <v>228</v>
      </c>
      <c r="AC93" t="s">
        <v>64</v>
      </c>
    </row>
    <row r="94" spans="1:29" x14ac:dyDescent="0.25">
      <c r="A94" t="s">
        <v>229</v>
      </c>
      <c r="B94" t="s">
        <v>30</v>
      </c>
      <c r="C94" s="1">
        <v>45968</v>
      </c>
      <c r="D94" s="2">
        <v>45968</v>
      </c>
      <c r="E94" t="s">
        <v>31</v>
      </c>
      <c r="G94" t="s">
        <v>32</v>
      </c>
      <c r="H94">
        <v>46.46</v>
      </c>
      <c r="I94">
        <v>2.2599999999999998</v>
      </c>
      <c r="J94">
        <v>0.6</v>
      </c>
      <c r="K94">
        <v>0.69</v>
      </c>
      <c r="L94">
        <v>15.12</v>
      </c>
      <c r="M94">
        <v>21.17</v>
      </c>
      <c r="N94">
        <v>17.440000000000001</v>
      </c>
      <c r="O94">
        <v>3940000000</v>
      </c>
      <c r="P94">
        <v>1.59</v>
      </c>
      <c r="Q94">
        <v>6.8000000000000005E-2</v>
      </c>
      <c r="R94">
        <v>7.3999999999999996E-2</v>
      </c>
      <c r="S94">
        <v>2.4E-2</v>
      </c>
      <c r="T94">
        <v>-5.0000000000000001E-3</v>
      </c>
      <c r="U94">
        <v>2.8000000000000001E-2</v>
      </c>
      <c r="V94">
        <v>0.38</v>
      </c>
      <c r="W94">
        <v>7.4999999999999997E-2</v>
      </c>
      <c r="X94">
        <v>-1.4E-2</v>
      </c>
      <c r="Y94">
        <v>8.8999999999999996E-2</v>
      </c>
      <c r="Z94">
        <v>49.93</v>
      </c>
      <c r="AA94">
        <v>45.82</v>
      </c>
      <c r="AB94" t="s">
        <v>230</v>
      </c>
      <c r="AC94" t="s">
        <v>64</v>
      </c>
    </row>
    <row r="95" spans="1:29" x14ac:dyDescent="0.25">
      <c r="A95" t="s">
        <v>231</v>
      </c>
      <c r="B95" t="s">
        <v>30</v>
      </c>
      <c r="C95" s="1">
        <v>45968</v>
      </c>
      <c r="D95" s="2">
        <v>45968</v>
      </c>
      <c r="E95" t="s">
        <v>31</v>
      </c>
      <c r="G95" t="s">
        <v>32</v>
      </c>
      <c r="H95">
        <v>61.96</v>
      </c>
      <c r="I95">
        <v>-40.96</v>
      </c>
      <c r="J95">
        <v>-3.55</v>
      </c>
      <c r="K95">
        <v>-4.2300000000000004</v>
      </c>
      <c r="L95">
        <v>-18.989999999999998</v>
      </c>
      <c r="O95">
        <v>1040000000</v>
      </c>
      <c r="P95">
        <v>0.51</v>
      </c>
      <c r="Q95">
        <v>-6.6000000000000003E-2</v>
      </c>
      <c r="R95">
        <v>-5.3999999999999999E-2</v>
      </c>
      <c r="S95">
        <v>-0.30199999999999999</v>
      </c>
      <c r="T95">
        <v>-0.317</v>
      </c>
      <c r="U95">
        <v>-0.24</v>
      </c>
      <c r="V95">
        <v>-0.629</v>
      </c>
      <c r="W95">
        <v>-5.3999999999999999E-2</v>
      </c>
      <c r="X95">
        <v>-0.38500000000000001</v>
      </c>
      <c r="Y95">
        <v>0.33100000000000002</v>
      </c>
      <c r="Z95">
        <v>58.62</v>
      </c>
      <c r="AA95">
        <v>38.130000000000003</v>
      </c>
      <c r="AB95" t="s">
        <v>232</v>
      </c>
      <c r="AC95" t="s">
        <v>47</v>
      </c>
    </row>
    <row r="96" spans="1:29" x14ac:dyDescent="0.25">
      <c r="A96" t="s">
        <v>233</v>
      </c>
      <c r="B96" t="s">
        <v>30</v>
      </c>
      <c r="C96" s="1">
        <v>45968</v>
      </c>
      <c r="D96" s="2">
        <v>45968</v>
      </c>
      <c r="E96" t="s">
        <v>31</v>
      </c>
      <c r="G96" t="s">
        <v>32</v>
      </c>
      <c r="H96">
        <v>38.450000000000003</v>
      </c>
      <c r="I96">
        <v>-0.95</v>
      </c>
      <c r="J96">
        <v>-0.02</v>
      </c>
      <c r="K96">
        <v>-0.85</v>
      </c>
      <c r="L96">
        <v>-4150</v>
      </c>
      <c r="O96">
        <v>4250000000</v>
      </c>
      <c r="P96">
        <v>0.32</v>
      </c>
      <c r="Q96">
        <v>6.0000000000000001E-3</v>
      </c>
      <c r="R96">
        <v>3.2000000000000001E-2</v>
      </c>
      <c r="S96">
        <v>-4.0000000000000001E-3</v>
      </c>
      <c r="T96">
        <v>-0.01</v>
      </c>
      <c r="U96">
        <v>-8.9999999999999993E-3</v>
      </c>
      <c r="V96">
        <v>0.23799999999999999</v>
      </c>
      <c r="W96">
        <v>3.2000000000000001E-2</v>
      </c>
      <c r="X96">
        <v>-2.1999999999999999E-2</v>
      </c>
      <c r="Y96">
        <v>5.2999999999999999E-2</v>
      </c>
      <c r="Z96">
        <v>39.67</v>
      </c>
      <c r="AA96">
        <v>37.619999999999997</v>
      </c>
      <c r="AB96" t="s">
        <v>234</v>
      </c>
      <c r="AC96" t="s">
        <v>129</v>
      </c>
    </row>
    <row r="97" spans="1:29" x14ac:dyDescent="0.25">
      <c r="A97" t="s">
        <v>235</v>
      </c>
      <c r="B97" t="s">
        <v>30</v>
      </c>
      <c r="C97" s="1">
        <v>45968</v>
      </c>
      <c r="D97" s="2">
        <v>45968</v>
      </c>
      <c r="E97" t="s">
        <v>31</v>
      </c>
      <c r="G97" t="s">
        <v>40</v>
      </c>
      <c r="H97">
        <v>36.26</v>
      </c>
      <c r="I97">
        <v>3.12</v>
      </c>
      <c r="J97">
        <v>0.59</v>
      </c>
      <c r="K97">
        <v>-0.62</v>
      </c>
      <c r="L97">
        <v>-205.53</v>
      </c>
      <c r="M97">
        <v>11.63</v>
      </c>
      <c r="N97">
        <v>8.94</v>
      </c>
      <c r="O97">
        <v>14260000000</v>
      </c>
      <c r="P97">
        <v>1.43</v>
      </c>
      <c r="Q97">
        <v>2.5999999999999999E-2</v>
      </c>
      <c r="R97">
        <v>4.5999999999999999E-2</v>
      </c>
      <c r="S97">
        <v>6.6000000000000003E-2</v>
      </c>
      <c r="T97">
        <v>6.6000000000000003E-2</v>
      </c>
      <c r="U97">
        <v>-1.4999999999999999E-2</v>
      </c>
      <c r="V97">
        <v>3.1E-2</v>
      </c>
      <c r="W97">
        <v>6.6000000000000003E-2</v>
      </c>
      <c r="X97">
        <v>2.5999999999999999E-2</v>
      </c>
      <c r="Y97">
        <v>0.04</v>
      </c>
      <c r="Z97">
        <v>38.67</v>
      </c>
      <c r="AA97">
        <v>37.21</v>
      </c>
      <c r="AB97" t="s">
        <v>236</v>
      </c>
      <c r="AC97" t="s">
        <v>34</v>
      </c>
    </row>
    <row r="98" spans="1:29" x14ac:dyDescent="0.25">
      <c r="A98" t="s">
        <v>237</v>
      </c>
      <c r="B98" t="s">
        <v>30</v>
      </c>
      <c r="C98" s="1">
        <v>45971</v>
      </c>
      <c r="D98" s="2">
        <v>45971</v>
      </c>
      <c r="E98" t="s">
        <v>31</v>
      </c>
      <c r="G98" t="s">
        <v>32</v>
      </c>
      <c r="H98">
        <v>13.69</v>
      </c>
      <c r="I98">
        <v>0.66</v>
      </c>
      <c r="J98">
        <v>0.38</v>
      </c>
      <c r="K98">
        <v>0.08</v>
      </c>
      <c r="L98">
        <v>-79.41</v>
      </c>
      <c r="M98">
        <v>21.01</v>
      </c>
      <c r="N98">
        <v>14.64</v>
      </c>
      <c r="O98">
        <v>297620000</v>
      </c>
      <c r="P98">
        <v>0.16</v>
      </c>
      <c r="Q98">
        <v>1.7000000000000001E-2</v>
      </c>
      <c r="R98">
        <v>-8.9999999999999993E-3</v>
      </c>
      <c r="S98">
        <v>-3.5999999999999997E-2</v>
      </c>
      <c r="T98">
        <v>-1.7000000000000001E-2</v>
      </c>
      <c r="U98">
        <v>-4.1000000000000002E-2</v>
      </c>
      <c r="V98">
        <v>0.23499999999999999</v>
      </c>
      <c r="W98">
        <v>1.7000000000000001E-2</v>
      </c>
      <c r="X98">
        <v>-3.5999999999999997E-2</v>
      </c>
      <c r="Y98">
        <v>5.2999999999999999E-2</v>
      </c>
      <c r="Z98">
        <v>13.91</v>
      </c>
      <c r="AA98">
        <v>13.19</v>
      </c>
      <c r="AB98" t="s">
        <v>238</v>
      </c>
      <c r="AC98" t="s">
        <v>34</v>
      </c>
    </row>
    <row r="99" spans="1:29" x14ac:dyDescent="0.25">
      <c r="A99" t="s">
        <v>239</v>
      </c>
      <c r="B99" t="s">
        <v>30</v>
      </c>
      <c r="C99" s="1">
        <v>45971</v>
      </c>
      <c r="D99" s="2">
        <v>45971</v>
      </c>
      <c r="E99" t="s">
        <v>31</v>
      </c>
      <c r="G99" t="s">
        <v>32</v>
      </c>
      <c r="H99">
        <v>80.09</v>
      </c>
      <c r="I99">
        <v>5.14</v>
      </c>
      <c r="J99">
        <v>1.53</v>
      </c>
      <c r="K99">
        <v>2.02</v>
      </c>
      <c r="L99">
        <v>32</v>
      </c>
      <c r="M99">
        <v>16.73</v>
      </c>
      <c r="N99">
        <v>19.82</v>
      </c>
      <c r="O99">
        <v>5100000000</v>
      </c>
      <c r="P99">
        <v>1.2</v>
      </c>
      <c r="Q99">
        <v>0.113</v>
      </c>
      <c r="R99">
        <v>8.6999999999999994E-2</v>
      </c>
      <c r="S99">
        <v>3.6999999999999998E-2</v>
      </c>
      <c r="T99">
        <v>3.6999999999999998E-2</v>
      </c>
      <c r="U99">
        <v>6.0999999999999999E-2</v>
      </c>
      <c r="V99">
        <v>2.5999999999999999E-2</v>
      </c>
      <c r="W99">
        <v>0.113</v>
      </c>
      <c r="X99">
        <v>3.3000000000000002E-2</v>
      </c>
      <c r="Y99">
        <v>0.08</v>
      </c>
      <c r="Z99">
        <v>89.18</v>
      </c>
      <c r="AA99">
        <v>82.76</v>
      </c>
      <c r="AB99" t="s">
        <v>240</v>
      </c>
      <c r="AC99" t="s">
        <v>52</v>
      </c>
    </row>
    <row r="100" spans="1:29" x14ac:dyDescent="0.25">
      <c r="A100" t="s">
        <v>241</v>
      </c>
      <c r="B100" t="s">
        <v>30</v>
      </c>
      <c r="C100" s="1">
        <v>45971</v>
      </c>
      <c r="D100" s="2">
        <v>45971</v>
      </c>
      <c r="E100" t="s">
        <v>31</v>
      </c>
      <c r="G100" t="s">
        <v>32</v>
      </c>
      <c r="H100">
        <v>25.39</v>
      </c>
      <c r="I100">
        <v>0.52</v>
      </c>
      <c r="J100">
        <v>0.35</v>
      </c>
      <c r="K100">
        <v>0.9</v>
      </c>
      <c r="L100">
        <v>159.04</v>
      </c>
      <c r="M100">
        <v>53.11</v>
      </c>
      <c r="N100">
        <v>12.43</v>
      </c>
      <c r="O100">
        <v>2330000000</v>
      </c>
      <c r="P100">
        <v>1.61</v>
      </c>
      <c r="Q100">
        <v>7.1999999999999995E-2</v>
      </c>
      <c r="R100">
        <v>4.8000000000000001E-2</v>
      </c>
      <c r="S100">
        <v>0.104</v>
      </c>
      <c r="T100">
        <v>3.2000000000000001E-2</v>
      </c>
      <c r="U100">
        <v>0.02</v>
      </c>
      <c r="V100">
        <v>0.20300000000000001</v>
      </c>
      <c r="W100">
        <v>0.104</v>
      </c>
      <c r="X100">
        <v>3.2000000000000001E-2</v>
      </c>
      <c r="Y100">
        <v>7.0999999999999994E-2</v>
      </c>
      <c r="Z100">
        <v>28.02</v>
      </c>
      <c r="AA100">
        <v>26.21</v>
      </c>
      <c r="AB100" t="s">
        <v>242</v>
      </c>
      <c r="AC100" t="s">
        <v>34</v>
      </c>
    </row>
    <row r="101" spans="1:29" x14ac:dyDescent="0.25">
      <c r="A101" t="s">
        <v>243</v>
      </c>
      <c r="B101" t="s">
        <v>30</v>
      </c>
      <c r="C101" s="1">
        <v>45971</v>
      </c>
      <c r="D101" s="2">
        <v>45971</v>
      </c>
      <c r="E101" t="s">
        <v>31</v>
      </c>
      <c r="G101" t="s">
        <v>40</v>
      </c>
      <c r="H101">
        <v>29.75</v>
      </c>
      <c r="I101">
        <v>0.64</v>
      </c>
      <c r="J101">
        <v>0.24</v>
      </c>
      <c r="K101">
        <v>0.25</v>
      </c>
      <c r="L101">
        <v>6.38</v>
      </c>
      <c r="M101">
        <v>50.98</v>
      </c>
      <c r="N101">
        <v>30.69</v>
      </c>
      <c r="O101">
        <v>2050000000</v>
      </c>
      <c r="P101">
        <v>0.94</v>
      </c>
      <c r="Q101">
        <v>0.05</v>
      </c>
      <c r="R101">
        <v>2.3E-2</v>
      </c>
      <c r="S101">
        <v>-4.8000000000000001E-2</v>
      </c>
      <c r="T101">
        <v>-7.3999999999999996E-2</v>
      </c>
      <c r="U101">
        <v>-3.5999999999999997E-2</v>
      </c>
      <c r="V101">
        <v>0.125</v>
      </c>
      <c r="W101">
        <v>6.0999999999999999E-2</v>
      </c>
      <c r="X101">
        <v>-7.3999999999999996E-2</v>
      </c>
      <c r="Y101">
        <v>0.13400000000000001</v>
      </c>
      <c r="Z101">
        <v>31.55</v>
      </c>
      <c r="AA101">
        <v>27.55</v>
      </c>
      <c r="AB101" t="s">
        <v>244</v>
      </c>
      <c r="AC101" t="s">
        <v>47</v>
      </c>
    </row>
    <row r="102" spans="1:29" x14ac:dyDescent="0.25">
      <c r="A102" t="s">
        <v>245</v>
      </c>
      <c r="B102" t="s">
        <v>30</v>
      </c>
      <c r="C102" s="1">
        <v>45971</v>
      </c>
      <c r="D102" s="2">
        <v>45971</v>
      </c>
      <c r="E102" t="s">
        <v>31</v>
      </c>
      <c r="G102" t="s">
        <v>40</v>
      </c>
      <c r="H102">
        <v>15.68</v>
      </c>
      <c r="I102">
        <v>-0.51</v>
      </c>
      <c r="J102">
        <v>-0.16</v>
      </c>
      <c r="K102">
        <v>-0.11</v>
      </c>
      <c r="L102">
        <v>33.33</v>
      </c>
      <c r="O102">
        <v>803280000</v>
      </c>
      <c r="P102">
        <v>0.78</v>
      </c>
      <c r="Q102">
        <v>0.16200000000000001</v>
      </c>
      <c r="R102">
        <v>0.10100000000000001</v>
      </c>
      <c r="S102">
        <v>0.14299999999999999</v>
      </c>
      <c r="T102">
        <v>0.186</v>
      </c>
      <c r="U102">
        <v>0.24299999999999999</v>
      </c>
      <c r="V102">
        <v>-2.1999999999999999E-2</v>
      </c>
      <c r="W102">
        <v>0.186</v>
      </c>
      <c r="X102">
        <v>0.10100000000000001</v>
      </c>
      <c r="Y102">
        <v>8.5000000000000006E-2</v>
      </c>
      <c r="Z102">
        <v>18.600000000000001</v>
      </c>
      <c r="AA102">
        <v>17.260000000000002</v>
      </c>
      <c r="AB102" t="s">
        <v>246</v>
      </c>
      <c r="AC102" t="s">
        <v>47</v>
      </c>
    </row>
    <row r="103" spans="1:29" x14ac:dyDescent="0.25">
      <c r="A103" t="s">
        <v>247</v>
      </c>
      <c r="B103" t="s">
        <v>30</v>
      </c>
      <c r="C103" s="1">
        <v>45971</v>
      </c>
      <c r="D103" s="2">
        <v>45971</v>
      </c>
      <c r="E103" t="s">
        <v>31</v>
      </c>
      <c r="G103" t="s">
        <v>40</v>
      </c>
      <c r="H103">
        <v>1.47</v>
      </c>
      <c r="I103">
        <v>-0.12</v>
      </c>
      <c r="J103">
        <v>0</v>
      </c>
      <c r="K103">
        <v>0.01</v>
      </c>
      <c r="L103">
        <v>300</v>
      </c>
      <c r="N103">
        <v>34.49</v>
      </c>
      <c r="O103">
        <v>298150000</v>
      </c>
      <c r="P103">
        <v>1.06</v>
      </c>
      <c r="Q103">
        <v>0.252</v>
      </c>
      <c r="R103">
        <v>0.218</v>
      </c>
      <c r="S103">
        <v>6.0999999999999999E-2</v>
      </c>
      <c r="T103">
        <v>0</v>
      </c>
      <c r="U103">
        <v>-7.0000000000000001E-3</v>
      </c>
      <c r="V103">
        <v>-7.0000000000000001E-3</v>
      </c>
      <c r="W103">
        <v>0.252</v>
      </c>
      <c r="X103">
        <v>0</v>
      </c>
      <c r="Y103">
        <v>0.252</v>
      </c>
      <c r="Z103">
        <v>1.84</v>
      </c>
      <c r="AA103">
        <v>1.47</v>
      </c>
      <c r="AB103" t="s">
        <v>248</v>
      </c>
      <c r="AC103" t="s">
        <v>42</v>
      </c>
    </row>
    <row r="104" spans="1:29" x14ac:dyDescent="0.25">
      <c r="A104" t="s">
        <v>249</v>
      </c>
      <c r="B104" t="s">
        <v>30</v>
      </c>
      <c r="C104" s="1">
        <v>45971</v>
      </c>
      <c r="D104" s="2">
        <v>45971</v>
      </c>
      <c r="E104" t="s">
        <v>31</v>
      </c>
      <c r="G104" t="s">
        <v>32</v>
      </c>
      <c r="H104">
        <v>32.07</v>
      </c>
      <c r="I104">
        <v>-2.87</v>
      </c>
      <c r="J104">
        <v>-0.75</v>
      </c>
      <c r="K104">
        <v>-1.56</v>
      </c>
      <c r="L104">
        <v>-108</v>
      </c>
      <c r="O104">
        <v>601020000</v>
      </c>
      <c r="P104">
        <v>0.59</v>
      </c>
      <c r="Q104">
        <v>-2E-3</v>
      </c>
      <c r="R104">
        <v>-2E-3</v>
      </c>
      <c r="S104">
        <v>-2E-3</v>
      </c>
      <c r="T104">
        <v>2E-3</v>
      </c>
      <c r="U104">
        <v>4.0000000000000001E-3</v>
      </c>
      <c r="V104">
        <v>6.4000000000000001E-2</v>
      </c>
      <c r="W104">
        <v>6.0000000000000001E-3</v>
      </c>
      <c r="X104">
        <v>-3.0000000000000001E-3</v>
      </c>
      <c r="Y104">
        <v>8.9999999999999993E-3</v>
      </c>
      <c r="Z104">
        <v>32.26</v>
      </c>
      <c r="AA104">
        <v>31.98</v>
      </c>
      <c r="AB104" t="s">
        <v>250</v>
      </c>
      <c r="AC104" t="s">
        <v>47</v>
      </c>
    </row>
    <row r="105" spans="1:29" x14ac:dyDescent="0.25">
      <c r="A105" t="s">
        <v>251</v>
      </c>
      <c r="B105" t="s">
        <v>30</v>
      </c>
      <c r="C105" s="1">
        <v>45971</v>
      </c>
      <c r="D105" s="2">
        <v>45971</v>
      </c>
      <c r="E105" t="s">
        <v>31</v>
      </c>
      <c r="G105" t="s">
        <v>32</v>
      </c>
      <c r="H105">
        <v>31.09</v>
      </c>
      <c r="I105">
        <v>11.13</v>
      </c>
      <c r="J105">
        <v>2.37</v>
      </c>
      <c r="K105">
        <v>2.62</v>
      </c>
      <c r="L105">
        <v>10.7</v>
      </c>
      <c r="M105">
        <v>3.1</v>
      </c>
      <c r="N105">
        <v>3.37</v>
      </c>
      <c r="O105">
        <v>1230000000</v>
      </c>
      <c r="P105">
        <v>0.95</v>
      </c>
      <c r="Q105">
        <v>0.08</v>
      </c>
      <c r="R105">
        <v>7.5999999999999998E-2</v>
      </c>
      <c r="S105">
        <v>9.6000000000000002E-2</v>
      </c>
      <c r="T105">
        <v>9.5000000000000001E-2</v>
      </c>
      <c r="U105">
        <v>0.112</v>
      </c>
      <c r="V105">
        <v>0.22700000000000001</v>
      </c>
      <c r="W105">
        <v>0.111</v>
      </c>
      <c r="X105">
        <v>7.5999999999999998E-2</v>
      </c>
      <c r="Y105">
        <v>3.5000000000000003E-2</v>
      </c>
      <c r="Z105">
        <v>34.54</v>
      </c>
      <c r="AA105">
        <v>33.46</v>
      </c>
      <c r="AB105" t="s">
        <v>252</v>
      </c>
      <c r="AC105" t="s">
        <v>38</v>
      </c>
    </row>
    <row r="106" spans="1:29" x14ac:dyDescent="0.25">
      <c r="A106" t="s">
        <v>253</v>
      </c>
      <c r="B106" t="s">
        <v>30</v>
      </c>
      <c r="C106" s="1">
        <v>45972</v>
      </c>
      <c r="D106" s="2">
        <v>45972</v>
      </c>
      <c r="E106" t="s">
        <v>31</v>
      </c>
      <c r="G106" t="s">
        <v>32</v>
      </c>
      <c r="H106">
        <v>11.45</v>
      </c>
      <c r="I106">
        <v>-1.79</v>
      </c>
      <c r="J106">
        <v>0.49</v>
      </c>
      <c r="K106">
        <v>0.39</v>
      </c>
      <c r="L106">
        <v>-20.399999999999999</v>
      </c>
      <c r="N106">
        <v>11.07</v>
      </c>
      <c r="O106">
        <v>30330000000</v>
      </c>
      <c r="P106">
        <v>0.41</v>
      </c>
      <c r="Q106">
        <v>5.7000000000000002E-2</v>
      </c>
      <c r="R106">
        <v>5.2999999999999999E-2</v>
      </c>
      <c r="S106">
        <v>4.7E-2</v>
      </c>
      <c r="T106">
        <v>1.2999999999999999E-2</v>
      </c>
      <c r="U106">
        <v>6.7000000000000004E-2</v>
      </c>
      <c r="V106">
        <v>0.36</v>
      </c>
      <c r="W106">
        <v>6.0999999999999999E-2</v>
      </c>
      <c r="X106">
        <v>1.2999999999999999E-2</v>
      </c>
      <c r="Y106">
        <v>4.8000000000000001E-2</v>
      </c>
      <c r="Z106">
        <v>12.15</v>
      </c>
      <c r="AA106">
        <v>11.6</v>
      </c>
      <c r="AB106" t="s">
        <v>254</v>
      </c>
      <c r="AC106" t="s">
        <v>129</v>
      </c>
    </row>
    <row r="107" spans="1:29" x14ac:dyDescent="0.25">
      <c r="A107" t="s">
        <v>255</v>
      </c>
      <c r="B107" t="s">
        <v>30</v>
      </c>
      <c r="C107" s="1">
        <v>45973</v>
      </c>
      <c r="D107" s="2">
        <v>45973</v>
      </c>
      <c r="E107" t="s">
        <v>31</v>
      </c>
      <c r="G107" t="s">
        <v>40</v>
      </c>
      <c r="H107">
        <v>4.07</v>
      </c>
      <c r="I107">
        <v>-1.67</v>
      </c>
      <c r="J107">
        <v>0.03</v>
      </c>
      <c r="K107">
        <v>0.01</v>
      </c>
      <c r="L107">
        <v>-66.33</v>
      </c>
      <c r="N107">
        <v>14.41</v>
      </c>
      <c r="O107">
        <v>566900000</v>
      </c>
      <c r="P107">
        <v>0.72</v>
      </c>
      <c r="Q107">
        <v>-4.7E-2</v>
      </c>
      <c r="R107">
        <v>-2.5000000000000001E-2</v>
      </c>
      <c r="S107">
        <v>-5.8999999999999997E-2</v>
      </c>
      <c r="T107">
        <v>7.0000000000000001E-3</v>
      </c>
      <c r="U107">
        <v>-1.7000000000000001E-2</v>
      </c>
      <c r="V107">
        <v>7.5999999999999998E-2</v>
      </c>
      <c r="W107">
        <v>7.0000000000000001E-3</v>
      </c>
      <c r="X107">
        <v>-6.0999999999999999E-2</v>
      </c>
      <c r="Y107">
        <v>6.9000000000000006E-2</v>
      </c>
      <c r="Z107">
        <v>4.0999999999999996</v>
      </c>
      <c r="AA107">
        <v>3.82</v>
      </c>
      <c r="AB107" t="s">
        <v>256</v>
      </c>
      <c r="AC107" t="s">
        <v>94</v>
      </c>
    </row>
    <row r="108" spans="1:29" x14ac:dyDescent="0.25">
      <c r="A108" t="s">
        <v>257</v>
      </c>
      <c r="B108" t="s">
        <v>88</v>
      </c>
      <c r="C108" s="1">
        <v>45973</v>
      </c>
      <c r="D108" s="2">
        <v>45973</v>
      </c>
      <c r="E108" t="s">
        <v>31</v>
      </c>
      <c r="G108" t="s">
        <v>40</v>
      </c>
      <c r="H108">
        <v>25.38</v>
      </c>
      <c r="I108">
        <v>0.93</v>
      </c>
      <c r="J108">
        <v>0.21</v>
      </c>
      <c r="K108">
        <v>0.25</v>
      </c>
      <c r="L108">
        <v>21.95</v>
      </c>
      <c r="M108">
        <v>27.19</v>
      </c>
      <c r="N108">
        <v>20.14</v>
      </c>
      <c r="O108">
        <v>210770000</v>
      </c>
      <c r="P108">
        <v>0.25</v>
      </c>
      <c r="Q108">
        <v>3.7999999999999999E-2</v>
      </c>
      <c r="R108">
        <v>-0.03</v>
      </c>
      <c r="S108">
        <v>-7.0000000000000001E-3</v>
      </c>
      <c r="T108">
        <v>2.1000000000000001E-2</v>
      </c>
      <c r="U108">
        <v>4.4999999999999998E-2</v>
      </c>
      <c r="V108">
        <v>-4.3999999999999997E-2</v>
      </c>
      <c r="W108">
        <v>3.7999999999999999E-2</v>
      </c>
      <c r="X108">
        <v>-3.4000000000000002E-2</v>
      </c>
      <c r="Y108">
        <v>7.1999999999999995E-2</v>
      </c>
      <c r="Z108">
        <v>26.35</v>
      </c>
      <c r="AA108">
        <v>24.52</v>
      </c>
      <c r="AB108" t="s">
        <v>258</v>
      </c>
      <c r="AC108" t="s">
        <v>47</v>
      </c>
    </row>
    <row r="109" spans="1:29" x14ac:dyDescent="0.25">
      <c r="A109" t="s">
        <v>259</v>
      </c>
      <c r="B109" t="s">
        <v>30</v>
      </c>
      <c r="C109" s="1">
        <v>45973</v>
      </c>
      <c r="D109" s="2">
        <v>45973</v>
      </c>
      <c r="E109" t="s">
        <v>31</v>
      </c>
      <c r="G109" t="s">
        <v>32</v>
      </c>
      <c r="H109">
        <v>25.77</v>
      </c>
      <c r="I109">
        <v>1.83</v>
      </c>
      <c r="J109">
        <v>0.46</v>
      </c>
      <c r="K109">
        <v>0.43</v>
      </c>
      <c r="L109">
        <v>-6.52</v>
      </c>
      <c r="M109">
        <v>14.51</v>
      </c>
      <c r="N109">
        <v>12.46</v>
      </c>
      <c r="O109">
        <v>1410000000</v>
      </c>
      <c r="P109">
        <v>0.31</v>
      </c>
      <c r="Q109">
        <v>-1.7999999999999999E-2</v>
      </c>
      <c r="R109">
        <v>0</v>
      </c>
      <c r="S109">
        <v>0</v>
      </c>
      <c r="T109">
        <v>1.4E-2</v>
      </c>
      <c r="U109">
        <v>-0.01</v>
      </c>
      <c r="V109">
        <v>8.0000000000000002E-3</v>
      </c>
      <c r="W109">
        <v>1.4E-2</v>
      </c>
      <c r="X109">
        <v>-1.7999999999999999E-2</v>
      </c>
      <c r="Y109">
        <v>3.2000000000000001E-2</v>
      </c>
      <c r="Z109">
        <v>26.13</v>
      </c>
      <c r="AA109">
        <v>25.3</v>
      </c>
      <c r="AB109" t="s">
        <v>260</v>
      </c>
      <c r="AC109" t="s">
        <v>34</v>
      </c>
    </row>
    <row r="110" spans="1:29" x14ac:dyDescent="0.25">
      <c r="A110" t="s">
        <v>261</v>
      </c>
      <c r="B110" t="s">
        <v>30</v>
      </c>
      <c r="C110" s="1">
        <v>45973</v>
      </c>
      <c r="D110" s="2">
        <v>45973</v>
      </c>
      <c r="E110" t="s">
        <v>31</v>
      </c>
      <c r="G110" t="s">
        <v>32</v>
      </c>
      <c r="H110">
        <v>3.76</v>
      </c>
      <c r="I110">
        <v>-3.83</v>
      </c>
      <c r="J110">
        <v>-0.52</v>
      </c>
      <c r="K110">
        <v>-0.37</v>
      </c>
      <c r="L110">
        <v>29.19</v>
      </c>
      <c r="O110">
        <v>59060000</v>
      </c>
      <c r="P110">
        <v>1.5</v>
      </c>
      <c r="Q110">
        <v>-4.8000000000000001E-2</v>
      </c>
      <c r="R110">
        <v>-3.3000000000000002E-2</v>
      </c>
      <c r="S110">
        <v>-4.2999999999999997E-2</v>
      </c>
      <c r="T110">
        <v>-4.2999999999999997E-2</v>
      </c>
      <c r="U110">
        <v>1.0999999999999999E-2</v>
      </c>
      <c r="V110">
        <v>0.17799999999999999</v>
      </c>
      <c r="W110">
        <v>-3.2000000000000001E-2</v>
      </c>
      <c r="X110">
        <v>-4.8000000000000001E-2</v>
      </c>
      <c r="Y110">
        <v>1.6E-2</v>
      </c>
      <c r="Z110">
        <v>3.64</v>
      </c>
      <c r="AA110">
        <v>3.58</v>
      </c>
      <c r="AB110" t="s">
        <v>262</v>
      </c>
      <c r="AC110" t="s">
        <v>47</v>
      </c>
    </row>
    <row r="111" spans="1:29" x14ac:dyDescent="0.25">
      <c r="A111" t="s">
        <v>263</v>
      </c>
      <c r="B111" t="s">
        <v>30</v>
      </c>
      <c r="C111" s="1">
        <v>45973</v>
      </c>
      <c r="D111" s="2">
        <v>45973</v>
      </c>
      <c r="E111" t="s">
        <v>31</v>
      </c>
      <c r="G111" t="s">
        <v>40</v>
      </c>
      <c r="H111">
        <v>3.5</v>
      </c>
      <c r="I111">
        <v>-1.61</v>
      </c>
      <c r="J111">
        <v>-0.41</v>
      </c>
      <c r="K111">
        <v>-0.53</v>
      </c>
      <c r="L111">
        <v>-27.71</v>
      </c>
      <c r="O111">
        <v>267830000</v>
      </c>
      <c r="P111">
        <v>0.15</v>
      </c>
      <c r="Q111">
        <v>-0.126</v>
      </c>
      <c r="R111">
        <v>-0.13700000000000001</v>
      </c>
      <c r="S111">
        <v>-0.1</v>
      </c>
      <c r="T111">
        <v>-0.151</v>
      </c>
      <c r="U111">
        <v>-0.129</v>
      </c>
      <c r="V111">
        <v>0.23100000000000001</v>
      </c>
      <c r="W111">
        <v>-0.1</v>
      </c>
      <c r="X111">
        <v>-0.154</v>
      </c>
      <c r="Y111">
        <v>5.3999999999999999E-2</v>
      </c>
      <c r="Z111">
        <v>3.15</v>
      </c>
      <c r="AA111">
        <v>2.96</v>
      </c>
      <c r="AB111" t="s">
        <v>264</v>
      </c>
      <c r="AC111" t="s">
        <v>47</v>
      </c>
    </row>
    <row r="112" spans="1:29" x14ac:dyDescent="0.25">
      <c r="A112" t="s">
        <v>265</v>
      </c>
      <c r="B112" t="s">
        <v>30</v>
      </c>
      <c r="C112" s="1">
        <v>45973</v>
      </c>
      <c r="D112" s="2">
        <v>45973</v>
      </c>
      <c r="E112" t="s">
        <v>31</v>
      </c>
      <c r="G112" t="s">
        <v>40</v>
      </c>
      <c r="H112">
        <v>3.78</v>
      </c>
      <c r="I112">
        <v>-0.08</v>
      </c>
      <c r="J112">
        <v>-0.02</v>
      </c>
      <c r="K112">
        <v>0</v>
      </c>
      <c r="L112">
        <v>100</v>
      </c>
      <c r="O112">
        <v>200110000</v>
      </c>
      <c r="P112">
        <v>0.59</v>
      </c>
      <c r="Q112">
        <v>0.151</v>
      </c>
      <c r="R112">
        <v>0.188</v>
      </c>
      <c r="S112">
        <v>0.151</v>
      </c>
      <c r="T112">
        <v>0.26500000000000001</v>
      </c>
      <c r="U112">
        <v>0.53400000000000003</v>
      </c>
      <c r="V112">
        <v>0.23499999999999999</v>
      </c>
      <c r="W112">
        <v>0.26500000000000001</v>
      </c>
      <c r="X112">
        <v>0.14299999999999999</v>
      </c>
      <c r="Y112">
        <v>0.122</v>
      </c>
      <c r="Z112">
        <v>4.78</v>
      </c>
      <c r="AA112">
        <v>4.32</v>
      </c>
      <c r="AB112" t="s">
        <v>266</v>
      </c>
      <c r="AC112" t="s">
        <v>47</v>
      </c>
    </row>
    <row r="113" spans="1:29" x14ac:dyDescent="0.25">
      <c r="A113" t="s">
        <v>267</v>
      </c>
      <c r="B113" t="s">
        <v>30</v>
      </c>
      <c r="C113" s="1">
        <v>45974</v>
      </c>
      <c r="D113" s="2">
        <v>45974</v>
      </c>
      <c r="E113" t="s">
        <v>31</v>
      </c>
      <c r="G113" t="s">
        <v>32</v>
      </c>
      <c r="H113">
        <v>46.83</v>
      </c>
      <c r="I113">
        <v>0.28999999999999998</v>
      </c>
      <c r="J113">
        <v>0.6</v>
      </c>
      <c r="K113">
        <v>0.63</v>
      </c>
      <c r="L113">
        <v>5</v>
      </c>
      <c r="M113">
        <v>162.02000000000001</v>
      </c>
      <c r="N113">
        <v>16.27</v>
      </c>
      <c r="O113">
        <v>115000000000</v>
      </c>
      <c r="P113">
        <v>1.59</v>
      </c>
      <c r="Q113">
        <v>-6.0999999999999999E-2</v>
      </c>
      <c r="R113">
        <v>-7.3999999999999996E-2</v>
      </c>
      <c r="S113">
        <v>-6.8000000000000005E-2</v>
      </c>
      <c r="T113">
        <v>-3.7999999999999999E-2</v>
      </c>
      <c r="U113">
        <v>2E-3</v>
      </c>
      <c r="V113">
        <v>2.1000000000000001E-2</v>
      </c>
      <c r="W113">
        <v>-3.7999999999999999E-2</v>
      </c>
      <c r="X113">
        <v>-8.3000000000000004E-2</v>
      </c>
      <c r="Y113">
        <v>4.4999999999999998E-2</v>
      </c>
      <c r="Z113">
        <v>45.05</v>
      </c>
      <c r="AA113">
        <v>42.94</v>
      </c>
      <c r="AB113" t="s">
        <v>268</v>
      </c>
      <c r="AC113" t="s">
        <v>94</v>
      </c>
    </row>
    <row r="114" spans="1:29" x14ac:dyDescent="0.25">
      <c r="A114" t="s">
        <v>269</v>
      </c>
      <c r="B114" t="s">
        <v>30</v>
      </c>
      <c r="C114" s="1">
        <v>45974</v>
      </c>
      <c r="D114" s="2">
        <v>45974</v>
      </c>
      <c r="E114" t="s">
        <v>31</v>
      </c>
      <c r="G114" t="s">
        <v>32</v>
      </c>
      <c r="H114">
        <v>37.4</v>
      </c>
      <c r="I114">
        <v>-17.309999999999999</v>
      </c>
      <c r="J114">
        <v>-0.56999999999999995</v>
      </c>
      <c r="K114">
        <v>-5.3</v>
      </c>
      <c r="L114">
        <v>-821.74</v>
      </c>
      <c r="O114">
        <v>100660000</v>
      </c>
      <c r="P114">
        <v>4</v>
      </c>
      <c r="Q114">
        <v>-0.10100000000000001</v>
      </c>
      <c r="R114">
        <v>-0.14899999999999999</v>
      </c>
      <c r="S114">
        <v>-0.22500000000000001</v>
      </c>
      <c r="T114">
        <v>-0.26400000000000001</v>
      </c>
      <c r="U114">
        <v>-0.24099999999999999</v>
      </c>
      <c r="V114">
        <v>-0.45</v>
      </c>
      <c r="W114">
        <v>-0.10100000000000001</v>
      </c>
      <c r="X114">
        <v>-0.32100000000000001</v>
      </c>
      <c r="Y114">
        <v>0.22</v>
      </c>
      <c r="Z114">
        <v>33.61</v>
      </c>
      <c r="AA114">
        <v>25.4</v>
      </c>
      <c r="AB114" t="s">
        <v>270</v>
      </c>
      <c r="AC114" t="s">
        <v>47</v>
      </c>
    </row>
    <row r="115" spans="1:29" x14ac:dyDescent="0.25">
      <c r="A115" t="s">
        <v>271</v>
      </c>
      <c r="B115" t="s">
        <v>36</v>
      </c>
      <c r="C115" s="1">
        <v>45974</v>
      </c>
      <c r="D115" s="2">
        <v>45974</v>
      </c>
      <c r="E115" t="s">
        <v>31</v>
      </c>
      <c r="G115" t="s">
        <v>32</v>
      </c>
      <c r="H115">
        <v>3.03</v>
      </c>
      <c r="I115">
        <v>-0.57999999999999996</v>
      </c>
      <c r="J115">
        <v>-0.34</v>
      </c>
      <c r="K115">
        <v>-0.08</v>
      </c>
      <c r="L115">
        <v>75.56</v>
      </c>
      <c r="O115">
        <v>43230000</v>
      </c>
      <c r="P115">
        <v>0.6</v>
      </c>
      <c r="Q115">
        <v>0.01</v>
      </c>
      <c r="R115">
        <v>4.2999999999999997E-2</v>
      </c>
      <c r="S115">
        <v>3.5999999999999997E-2</v>
      </c>
      <c r="T115">
        <v>2.5999999999999999E-2</v>
      </c>
      <c r="U115">
        <v>0.05</v>
      </c>
      <c r="V115">
        <v>0.191</v>
      </c>
      <c r="W115">
        <v>5.2999999999999999E-2</v>
      </c>
      <c r="X115">
        <v>-0.01</v>
      </c>
      <c r="Y115">
        <v>6.3E-2</v>
      </c>
      <c r="Z115">
        <v>3.19</v>
      </c>
      <c r="AA115">
        <v>3</v>
      </c>
      <c r="AB115" t="s">
        <v>272</v>
      </c>
      <c r="AC115" t="s">
        <v>47</v>
      </c>
    </row>
    <row r="116" spans="1:29" x14ac:dyDescent="0.25">
      <c r="A116" t="s">
        <v>273</v>
      </c>
      <c r="B116" t="s">
        <v>30</v>
      </c>
      <c r="C116" s="1">
        <v>45974</v>
      </c>
      <c r="D116" s="2">
        <v>45973</v>
      </c>
      <c r="E116" t="s">
        <v>223</v>
      </c>
      <c r="G116" t="s">
        <v>40</v>
      </c>
      <c r="H116">
        <v>10.01</v>
      </c>
      <c r="I116">
        <v>1.44</v>
      </c>
      <c r="J116">
        <v>0.36</v>
      </c>
      <c r="K116">
        <v>0.33</v>
      </c>
      <c r="L116">
        <v>-7.67</v>
      </c>
      <c r="M116">
        <v>7.03</v>
      </c>
      <c r="N116">
        <v>8.17</v>
      </c>
      <c r="O116">
        <v>20830000000</v>
      </c>
      <c r="P116">
        <v>0.78</v>
      </c>
      <c r="Q116">
        <v>3.7999999999999999E-2</v>
      </c>
      <c r="R116">
        <v>0.06</v>
      </c>
      <c r="S116">
        <v>1.0999999999999999E-2</v>
      </c>
      <c r="T116">
        <v>-4.1000000000000002E-2</v>
      </c>
      <c r="U116">
        <v>-1.9E-2</v>
      </c>
      <c r="V116">
        <v>0.189</v>
      </c>
      <c r="W116">
        <v>0.06</v>
      </c>
      <c r="X116">
        <v>-4.1000000000000002E-2</v>
      </c>
      <c r="Y116">
        <v>0.10100000000000001</v>
      </c>
      <c r="Z116">
        <v>10.61</v>
      </c>
      <c r="AA116">
        <v>9.6</v>
      </c>
      <c r="AB116" t="s">
        <v>274</v>
      </c>
      <c r="AC116" t="s">
        <v>34</v>
      </c>
    </row>
    <row r="117" spans="1:29" x14ac:dyDescent="0.25">
      <c r="A117" t="s">
        <v>275</v>
      </c>
      <c r="B117" t="s">
        <v>30</v>
      </c>
      <c r="C117" s="1">
        <v>45974</v>
      </c>
      <c r="D117" s="2">
        <v>45974</v>
      </c>
      <c r="E117" t="s">
        <v>31</v>
      </c>
      <c r="G117" t="s">
        <v>32</v>
      </c>
      <c r="H117">
        <v>10.68</v>
      </c>
      <c r="I117">
        <v>-2.38</v>
      </c>
      <c r="J117">
        <v>-0.45</v>
      </c>
      <c r="K117">
        <v>-0.45</v>
      </c>
      <c r="L117">
        <v>0</v>
      </c>
      <c r="N117">
        <v>15.72</v>
      </c>
      <c r="O117">
        <v>18410000</v>
      </c>
      <c r="P117">
        <v>-0.28999999999999998</v>
      </c>
      <c r="Q117">
        <v>1E-3</v>
      </c>
      <c r="R117">
        <v>1E-3</v>
      </c>
      <c r="S117">
        <v>1E-3</v>
      </c>
      <c r="T117">
        <v>5.0000000000000001E-3</v>
      </c>
      <c r="U117">
        <v>1.9E-2</v>
      </c>
      <c r="V117">
        <v>0.03</v>
      </c>
      <c r="W117">
        <v>5.0000000000000001E-3</v>
      </c>
      <c r="X117">
        <v>-1E-3</v>
      </c>
      <c r="Y117">
        <v>6.0000000000000001E-3</v>
      </c>
      <c r="Z117">
        <v>10.73</v>
      </c>
      <c r="AA117">
        <v>10.67</v>
      </c>
      <c r="AB117" t="s">
        <v>276</v>
      </c>
      <c r="AC117" t="s">
        <v>47</v>
      </c>
    </row>
    <row r="118" spans="1:29" x14ac:dyDescent="0.25">
      <c r="A118" t="s">
        <v>277</v>
      </c>
      <c r="B118" t="s">
        <v>30</v>
      </c>
      <c r="C118" s="1">
        <v>45974</v>
      </c>
      <c r="D118" s="2">
        <v>45974</v>
      </c>
      <c r="E118" t="s">
        <v>31</v>
      </c>
      <c r="G118" t="s">
        <v>32</v>
      </c>
      <c r="H118">
        <v>52.8</v>
      </c>
      <c r="I118">
        <v>3.95</v>
      </c>
      <c r="J118">
        <v>0.91</v>
      </c>
      <c r="K118">
        <v>2.61</v>
      </c>
      <c r="L118">
        <v>186.21</v>
      </c>
      <c r="M118">
        <v>14.44</v>
      </c>
      <c r="N118">
        <v>11.43</v>
      </c>
      <c r="O118">
        <v>1380000000</v>
      </c>
      <c r="P118">
        <v>0.7</v>
      </c>
      <c r="Q118">
        <v>7.2999999999999995E-2</v>
      </c>
      <c r="R118">
        <v>0.02</v>
      </c>
      <c r="S118">
        <v>0.02</v>
      </c>
      <c r="T118">
        <v>8.5000000000000006E-2</v>
      </c>
      <c r="U118">
        <v>0.124</v>
      </c>
      <c r="V118">
        <v>0.442</v>
      </c>
      <c r="W118">
        <v>8.5000000000000006E-2</v>
      </c>
      <c r="X118">
        <v>0.02</v>
      </c>
      <c r="Y118">
        <v>6.4000000000000001E-2</v>
      </c>
      <c r="Z118">
        <v>57.27</v>
      </c>
      <c r="AA118">
        <v>53.87</v>
      </c>
      <c r="AB118" t="s">
        <v>278</v>
      </c>
      <c r="AC118" t="s">
        <v>279</v>
      </c>
    </row>
    <row r="119" spans="1:29" x14ac:dyDescent="0.25">
      <c r="A119" t="s">
        <v>280</v>
      </c>
      <c r="B119" t="s">
        <v>30</v>
      </c>
      <c r="C119" s="1">
        <v>45974</v>
      </c>
      <c r="D119" s="2">
        <v>45974</v>
      </c>
      <c r="E119" t="s">
        <v>31</v>
      </c>
      <c r="G119" t="s">
        <v>40</v>
      </c>
      <c r="H119">
        <v>3.86</v>
      </c>
      <c r="I119">
        <v>-0.43</v>
      </c>
      <c r="J119">
        <v>-0.08</v>
      </c>
      <c r="K119">
        <v>-0.11</v>
      </c>
      <c r="L119">
        <v>-37.5</v>
      </c>
      <c r="O119">
        <v>1170000000</v>
      </c>
      <c r="P119">
        <v>1.1599999999999999</v>
      </c>
      <c r="Q119">
        <v>0.25600000000000001</v>
      </c>
      <c r="R119">
        <v>0.25600000000000001</v>
      </c>
      <c r="S119">
        <v>0.01</v>
      </c>
      <c r="T119">
        <v>-0.01</v>
      </c>
      <c r="U119">
        <v>-8.0000000000000002E-3</v>
      </c>
      <c r="V119">
        <v>0.27700000000000002</v>
      </c>
      <c r="W119">
        <v>0.26900000000000002</v>
      </c>
      <c r="X119">
        <v>-0.01</v>
      </c>
      <c r="Y119">
        <v>0.28000000000000003</v>
      </c>
      <c r="Z119">
        <v>4.9000000000000004</v>
      </c>
      <c r="AA119">
        <v>3.82</v>
      </c>
      <c r="AB119" t="s">
        <v>281</v>
      </c>
      <c r="AC119" t="s">
        <v>47</v>
      </c>
    </row>
    <row r="120" spans="1:29" x14ac:dyDescent="0.25">
      <c r="A120" t="s">
        <v>282</v>
      </c>
      <c r="B120" t="s">
        <v>30</v>
      </c>
      <c r="C120" s="1">
        <v>45974</v>
      </c>
      <c r="D120" s="2">
        <v>45973</v>
      </c>
      <c r="E120" t="s">
        <v>223</v>
      </c>
      <c r="G120" t="s">
        <v>40</v>
      </c>
      <c r="H120">
        <v>1.54</v>
      </c>
      <c r="I120">
        <v>-0.24</v>
      </c>
      <c r="J120">
        <v>-0.12</v>
      </c>
      <c r="K120">
        <v>-0.06</v>
      </c>
      <c r="L120">
        <v>50</v>
      </c>
      <c r="O120">
        <v>76020000</v>
      </c>
      <c r="P120">
        <v>0.48</v>
      </c>
      <c r="Q120">
        <v>6.0000000000000001E-3</v>
      </c>
      <c r="R120">
        <v>-6.5000000000000002E-2</v>
      </c>
      <c r="S120">
        <v>-7.8E-2</v>
      </c>
      <c r="T120">
        <v>-7.8E-2</v>
      </c>
      <c r="U120">
        <v>-5.8000000000000003E-2</v>
      </c>
      <c r="V120">
        <v>-3.9E-2</v>
      </c>
      <c r="W120">
        <v>6.0000000000000001E-3</v>
      </c>
      <c r="X120">
        <v>-8.4000000000000005E-2</v>
      </c>
      <c r="Y120">
        <v>9.0999999999999998E-2</v>
      </c>
      <c r="Z120">
        <v>1.55</v>
      </c>
      <c r="AA120">
        <v>1.41</v>
      </c>
      <c r="AB120" t="s">
        <v>283</v>
      </c>
      <c r="AC120" t="s">
        <v>47</v>
      </c>
    </row>
    <row r="121" spans="1:29" x14ac:dyDescent="0.25">
      <c r="A121" t="s">
        <v>284</v>
      </c>
      <c r="B121" t="s">
        <v>30</v>
      </c>
      <c r="C121" s="1">
        <v>45974</v>
      </c>
      <c r="D121" s="2">
        <v>45974</v>
      </c>
      <c r="E121" t="s">
        <v>31</v>
      </c>
      <c r="G121" t="s">
        <v>32</v>
      </c>
      <c r="H121">
        <v>8.68</v>
      </c>
      <c r="I121">
        <v>0.73</v>
      </c>
      <c r="J121">
        <v>0.47</v>
      </c>
      <c r="K121">
        <v>0.67</v>
      </c>
      <c r="L121">
        <v>41.55</v>
      </c>
      <c r="M121">
        <v>12.88</v>
      </c>
      <c r="N121">
        <v>4.6500000000000004</v>
      </c>
      <c r="O121">
        <v>195860000</v>
      </c>
      <c r="P121">
        <v>0.77</v>
      </c>
      <c r="Q121">
        <v>6.5000000000000002E-2</v>
      </c>
      <c r="R121">
        <v>8.1000000000000003E-2</v>
      </c>
      <c r="S121">
        <v>4.8000000000000001E-2</v>
      </c>
      <c r="T121">
        <v>0.14099999999999999</v>
      </c>
      <c r="U121">
        <v>0.20100000000000001</v>
      </c>
      <c r="V121">
        <v>0.32600000000000001</v>
      </c>
      <c r="W121">
        <v>0.14099999999999999</v>
      </c>
      <c r="X121">
        <v>4.8000000000000001E-2</v>
      </c>
      <c r="Y121">
        <v>9.2999999999999999E-2</v>
      </c>
      <c r="Z121">
        <v>9.9</v>
      </c>
      <c r="AA121">
        <v>9.09</v>
      </c>
      <c r="AB121" t="s">
        <v>285</v>
      </c>
      <c r="AC121" t="s">
        <v>38</v>
      </c>
    </row>
    <row r="122" spans="1:29" x14ac:dyDescent="0.25">
      <c r="A122" t="s">
        <v>286</v>
      </c>
      <c r="B122" t="s">
        <v>30</v>
      </c>
      <c r="C122" s="1">
        <v>45975</v>
      </c>
      <c r="D122" s="2">
        <v>45974</v>
      </c>
      <c r="E122" t="s">
        <v>223</v>
      </c>
      <c r="G122" t="s">
        <v>40</v>
      </c>
      <c r="H122">
        <v>44.11</v>
      </c>
      <c r="I122">
        <v>-5.0599999999999996</v>
      </c>
      <c r="J122">
        <v>-0.94</v>
      </c>
      <c r="K122">
        <v>-1.4</v>
      </c>
      <c r="L122">
        <v>-48.79</v>
      </c>
      <c r="O122">
        <v>607170000</v>
      </c>
      <c r="P122">
        <v>2.16</v>
      </c>
      <c r="Q122">
        <v>-2E-3</v>
      </c>
      <c r="R122">
        <v>-1E-3</v>
      </c>
      <c r="S122">
        <v>6.0000000000000001E-3</v>
      </c>
      <c r="T122">
        <v>5.0000000000000001E-3</v>
      </c>
      <c r="U122">
        <v>2E-3</v>
      </c>
      <c r="V122">
        <v>1.2E-2</v>
      </c>
      <c r="W122">
        <v>6.0000000000000001E-3</v>
      </c>
      <c r="X122">
        <v>-2E-3</v>
      </c>
      <c r="Y122">
        <v>7.0000000000000001E-3</v>
      </c>
      <c r="Z122">
        <v>44.36</v>
      </c>
      <c r="AA122">
        <v>44.03</v>
      </c>
      <c r="AB122" t="s">
        <v>287</v>
      </c>
      <c r="AC122" t="s">
        <v>94</v>
      </c>
    </row>
    <row r="123" spans="1:29" x14ac:dyDescent="0.25">
      <c r="A123" t="s">
        <v>288</v>
      </c>
      <c r="B123" t="s">
        <v>30</v>
      </c>
      <c r="C123" s="1">
        <v>45975</v>
      </c>
      <c r="D123" s="2">
        <v>45975</v>
      </c>
      <c r="E123" t="s">
        <v>31</v>
      </c>
      <c r="G123" t="s">
        <v>40</v>
      </c>
      <c r="H123">
        <v>11.05</v>
      </c>
      <c r="I123">
        <v>-1.04</v>
      </c>
      <c r="J123">
        <v>-0.21</v>
      </c>
      <c r="K123">
        <v>-0.15</v>
      </c>
      <c r="L123">
        <v>28.57</v>
      </c>
      <c r="N123">
        <v>18.66</v>
      </c>
      <c r="O123">
        <v>514950000</v>
      </c>
      <c r="P123">
        <v>3.2</v>
      </c>
      <c r="Q123">
        <v>-0.214</v>
      </c>
      <c r="R123">
        <v>-0.11899999999999999</v>
      </c>
      <c r="S123">
        <v>-0.122</v>
      </c>
      <c r="T123">
        <v>-0.129</v>
      </c>
      <c r="U123">
        <v>-0.152</v>
      </c>
      <c r="V123">
        <v>-0.51600000000000001</v>
      </c>
      <c r="W123">
        <v>-0.11899999999999999</v>
      </c>
      <c r="X123">
        <v>-0.24199999999999999</v>
      </c>
      <c r="Y123">
        <v>0.123</v>
      </c>
      <c r="Z123">
        <v>9.74</v>
      </c>
      <c r="AA123">
        <v>8.3800000000000008</v>
      </c>
      <c r="AB123" t="s">
        <v>289</v>
      </c>
      <c r="AC123" t="s">
        <v>64</v>
      </c>
    </row>
    <row r="124" spans="1:29" x14ac:dyDescent="0.25">
      <c r="A124" t="s">
        <v>290</v>
      </c>
      <c r="B124" t="s">
        <v>30</v>
      </c>
      <c r="C124" s="1">
        <v>45975</v>
      </c>
      <c r="D124" s="2">
        <v>45973</v>
      </c>
      <c r="E124" t="s">
        <v>223</v>
      </c>
      <c r="G124" t="s">
        <v>40</v>
      </c>
      <c r="H124">
        <v>2.11</v>
      </c>
      <c r="I124">
        <v>0.4</v>
      </c>
      <c r="J124">
        <v>7.0000000000000007E-2</v>
      </c>
      <c r="K124">
        <v>0.05</v>
      </c>
      <c r="L124">
        <v>-19.71</v>
      </c>
      <c r="M124">
        <v>5.25</v>
      </c>
      <c r="N124">
        <v>7.79</v>
      </c>
      <c r="O124">
        <v>4020000000</v>
      </c>
      <c r="P124">
        <v>0.89</v>
      </c>
      <c r="Q124">
        <v>1.9E-2</v>
      </c>
      <c r="R124">
        <v>-1.9E-2</v>
      </c>
      <c r="S124">
        <v>-3.7999999999999999E-2</v>
      </c>
      <c r="T124">
        <v>-2.4E-2</v>
      </c>
      <c r="U124">
        <v>-8.9999999999999993E-3</v>
      </c>
      <c r="V124">
        <v>5.1999999999999998E-2</v>
      </c>
      <c r="W124">
        <v>1.9E-2</v>
      </c>
      <c r="X124">
        <v>-4.2999999999999997E-2</v>
      </c>
      <c r="Y124">
        <v>6.2E-2</v>
      </c>
      <c r="Z124">
        <v>2.15</v>
      </c>
      <c r="AA124">
        <v>2.02</v>
      </c>
      <c r="AB124" t="s">
        <v>291</v>
      </c>
      <c r="AC124" t="s">
        <v>59</v>
      </c>
    </row>
    <row r="125" spans="1:29" x14ac:dyDescent="0.25">
      <c r="A125" t="s">
        <v>292</v>
      </c>
      <c r="B125" t="s">
        <v>36</v>
      </c>
      <c r="C125" s="1">
        <v>45975</v>
      </c>
      <c r="D125" s="2">
        <v>45975</v>
      </c>
      <c r="E125" t="s">
        <v>31</v>
      </c>
      <c r="G125" t="s">
        <v>32</v>
      </c>
      <c r="H125">
        <v>6.79</v>
      </c>
      <c r="I125">
        <v>0.47</v>
      </c>
      <c r="J125">
        <v>0.17</v>
      </c>
      <c r="K125">
        <v>0.21</v>
      </c>
      <c r="L125">
        <v>24.79</v>
      </c>
      <c r="M125">
        <v>14.92</v>
      </c>
      <c r="N125">
        <v>11.23</v>
      </c>
      <c r="O125">
        <v>87260000000</v>
      </c>
      <c r="P125">
        <v>0.39</v>
      </c>
      <c r="Q125">
        <v>-1E-3</v>
      </c>
      <c r="R125">
        <v>-3.2000000000000001E-2</v>
      </c>
      <c r="S125">
        <v>-2.7E-2</v>
      </c>
      <c r="T125">
        <v>0.01</v>
      </c>
      <c r="U125">
        <v>5.3999999999999999E-2</v>
      </c>
      <c r="V125">
        <v>0.45800000000000002</v>
      </c>
      <c r="W125">
        <v>0.01</v>
      </c>
      <c r="X125">
        <v>-0.05</v>
      </c>
      <c r="Y125">
        <v>0.06</v>
      </c>
      <c r="Z125">
        <v>6.86</v>
      </c>
      <c r="AA125">
        <v>6.45</v>
      </c>
      <c r="AB125" t="s">
        <v>293</v>
      </c>
      <c r="AC125" t="s">
        <v>94</v>
      </c>
    </row>
    <row r="126" spans="1:29" x14ac:dyDescent="0.25">
      <c r="A126" t="s">
        <v>294</v>
      </c>
      <c r="B126" t="s">
        <v>30</v>
      </c>
      <c r="C126" s="1">
        <v>45978</v>
      </c>
      <c r="D126" s="2">
        <v>45978</v>
      </c>
      <c r="E126" t="s">
        <v>31</v>
      </c>
      <c r="G126" t="s">
        <v>32</v>
      </c>
      <c r="H126">
        <v>27.04</v>
      </c>
      <c r="I126">
        <v>-5.03</v>
      </c>
      <c r="J126">
        <v>-2.56</v>
      </c>
      <c r="K126">
        <v>-1</v>
      </c>
      <c r="L126">
        <v>60.94</v>
      </c>
      <c r="N126">
        <v>6.14</v>
      </c>
      <c r="O126">
        <v>1460000000</v>
      </c>
      <c r="P126">
        <v>0.43</v>
      </c>
      <c r="Q126">
        <v>0.06</v>
      </c>
      <c r="R126">
        <v>-6.8000000000000005E-2</v>
      </c>
      <c r="S126">
        <v>-4.5999999999999999E-2</v>
      </c>
      <c r="T126">
        <v>-4.9000000000000002E-2</v>
      </c>
      <c r="U126">
        <v>-5.3999999999999999E-2</v>
      </c>
      <c r="V126">
        <v>-1.7999999999999999E-2</v>
      </c>
      <c r="W126">
        <v>0.06</v>
      </c>
      <c r="X126">
        <v>-7.1999999999999995E-2</v>
      </c>
      <c r="Y126">
        <v>0.13200000000000001</v>
      </c>
      <c r="Z126">
        <v>28.65</v>
      </c>
      <c r="AA126">
        <v>25.08</v>
      </c>
      <c r="AB126" t="s">
        <v>295</v>
      </c>
      <c r="AC126" t="s">
        <v>42</v>
      </c>
    </row>
    <row r="127" spans="1:29" x14ac:dyDescent="0.25">
      <c r="A127" t="s">
        <v>296</v>
      </c>
      <c r="B127" t="s">
        <v>30</v>
      </c>
      <c r="C127" s="1">
        <v>45978</v>
      </c>
      <c r="D127" s="2">
        <v>45978</v>
      </c>
      <c r="E127" t="s">
        <v>31</v>
      </c>
      <c r="G127" t="s">
        <v>32</v>
      </c>
      <c r="H127">
        <v>44.47</v>
      </c>
      <c r="I127">
        <v>4.1500000000000004</v>
      </c>
      <c r="J127">
        <v>1.29</v>
      </c>
      <c r="K127">
        <v>1.41</v>
      </c>
      <c r="L127">
        <v>8.92</v>
      </c>
      <c r="M127">
        <v>11.19</v>
      </c>
      <c r="N127">
        <v>9.65</v>
      </c>
      <c r="O127">
        <v>13350000000</v>
      </c>
      <c r="P127">
        <v>3.85</v>
      </c>
      <c r="Q127">
        <v>3.1E-2</v>
      </c>
      <c r="R127">
        <v>4.2999999999999997E-2</v>
      </c>
      <c r="S127">
        <v>2.7E-2</v>
      </c>
      <c r="T127">
        <v>0.08</v>
      </c>
      <c r="U127">
        <v>0.107</v>
      </c>
      <c r="V127">
        <v>0.34300000000000003</v>
      </c>
      <c r="W127">
        <v>8.2000000000000003E-2</v>
      </c>
      <c r="X127">
        <v>1.9E-2</v>
      </c>
      <c r="Y127">
        <v>6.3E-2</v>
      </c>
      <c r="Z127">
        <v>48.11</v>
      </c>
      <c r="AA127">
        <v>45.33</v>
      </c>
      <c r="AB127" t="s">
        <v>297</v>
      </c>
      <c r="AC127" t="s">
        <v>38</v>
      </c>
    </row>
    <row r="128" spans="1:29" x14ac:dyDescent="0.25">
      <c r="A128" t="s">
        <v>298</v>
      </c>
      <c r="B128" t="s">
        <v>30</v>
      </c>
      <c r="C128" s="1">
        <v>45978</v>
      </c>
      <c r="D128" s="2">
        <v>45978</v>
      </c>
      <c r="E128" t="s">
        <v>31</v>
      </c>
      <c r="G128" t="s">
        <v>40</v>
      </c>
      <c r="H128">
        <v>95.25</v>
      </c>
      <c r="I128">
        <v>24.25</v>
      </c>
      <c r="J128">
        <v>7.1</v>
      </c>
      <c r="K128">
        <v>6.75</v>
      </c>
      <c r="L128">
        <v>-4.93</v>
      </c>
      <c r="M128">
        <v>3.94</v>
      </c>
      <c r="N128">
        <v>3.5</v>
      </c>
      <c r="O128">
        <v>1750000000</v>
      </c>
      <c r="P128">
        <v>1.1499999999999999</v>
      </c>
      <c r="Q128">
        <v>1.2E-2</v>
      </c>
      <c r="R128">
        <v>-2.4E-2</v>
      </c>
      <c r="S128">
        <v>1.6E-2</v>
      </c>
      <c r="T128">
        <v>2.1999999999999999E-2</v>
      </c>
      <c r="U128">
        <v>1.4E-2</v>
      </c>
      <c r="V128">
        <v>0.13400000000000001</v>
      </c>
      <c r="W128">
        <v>2.1999999999999999E-2</v>
      </c>
      <c r="X128">
        <v>-2.4E-2</v>
      </c>
      <c r="Y128">
        <v>4.5999999999999999E-2</v>
      </c>
      <c r="Z128">
        <v>97.34</v>
      </c>
      <c r="AA128">
        <v>93</v>
      </c>
      <c r="AB128" t="s">
        <v>299</v>
      </c>
      <c r="AC128" t="s">
        <v>38</v>
      </c>
    </row>
    <row r="129" spans="1:29" x14ac:dyDescent="0.25">
      <c r="A129" t="s">
        <v>300</v>
      </c>
      <c r="B129" t="s">
        <v>30</v>
      </c>
      <c r="C129" s="1">
        <v>45978</v>
      </c>
      <c r="D129" s="2">
        <v>45978</v>
      </c>
      <c r="E129" t="s">
        <v>31</v>
      </c>
      <c r="G129" t="s">
        <v>40</v>
      </c>
      <c r="H129">
        <v>17.920000000000002</v>
      </c>
      <c r="I129">
        <v>1.59</v>
      </c>
      <c r="J129">
        <v>2.4700000000000002</v>
      </c>
      <c r="K129">
        <v>2.4700000000000002</v>
      </c>
      <c r="L129">
        <v>-0.17</v>
      </c>
      <c r="M129">
        <v>11.66</v>
      </c>
      <c r="N129">
        <v>9.43</v>
      </c>
      <c r="O129">
        <v>9780000000</v>
      </c>
      <c r="P129">
        <v>1.1599999999999999</v>
      </c>
      <c r="Q129">
        <v>1.9E-2</v>
      </c>
      <c r="R129">
        <v>-5.3999999999999999E-2</v>
      </c>
      <c r="S129">
        <v>-1.9E-2</v>
      </c>
      <c r="T129">
        <v>5.5E-2</v>
      </c>
      <c r="U129">
        <v>0.106</v>
      </c>
      <c r="V129">
        <v>0.109</v>
      </c>
      <c r="W129">
        <v>5.5E-2</v>
      </c>
      <c r="X129">
        <v>-5.3999999999999999E-2</v>
      </c>
      <c r="Y129">
        <v>0.108</v>
      </c>
      <c r="Z129">
        <v>18.899999999999999</v>
      </c>
      <c r="AA129">
        <v>16.96</v>
      </c>
      <c r="AB129" t="s">
        <v>301</v>
      </c>
      <c r="AC129" t="s">
        <v>94</v>
      </c>
    </row>
    <row r="130" spans="1:29" x14ac:dyDescent="0.25">
      <c r="A130" t="s">
        <v>302</v>
      </c>
      <c r="B130" t="s">
        <v>30</v>
      </c>
      <c r="C130" s="1">
        <v>45979</v>
      </c>
      <c r="D130" s="2">
        <v>45979</v>
      </c>
      <c r="E130" t="s">
        <v>31</v>
      </c>
      <c r="G130" t="s">
        <v>32</v>
      </c>
      <c r="H130">
        <v>168.57</v>
      </c>
      <c r="I130">
        <v>7.22</v>
      </c>
      <c r="J130">
        <v>20.48</v>
      </c>
      <c r="K130">
        <v>23.4</v>
      </c>
      <c r="L130">
        <v>14.23</v>
      </c>
      <c r="M130">
        <v>23.38</v>
      </c>
      <c r="N130">
        <v>16.600000000000001</v>
      </c>
      <c r="O130">
        <v>16000000000</v>
      </c>
      <c r="P130">
        <v>0.22</v>
      </c>
      <c r="Q130">
        <v>-1.6E-2</v>
      </c>
      <c r="R130">
        <v>-4.2000000000000003E-2</v>
      </c>
      <c r="S130">
        <v>-2E-3</v>
      </c>
      <c r="T130">
        <v>6.0000000000000001E-3</v>
      </c>
      <c r="U130">
        <v>-2E-3</v>
      </c>
      <c r="V130">
        <v>-0.13</v>
      </c>
      <c r="W130">
        <v>1.7999999999999999E-2</v>
      </c>
      <c r="X130">
        <v>-8.7999999999999995E-2</v>
      </c>
      <c r="Y130">
        <v>0.105</v>
      </c>
      <c r="Z130">
        <v>171.52</v>
      </c>
      <c r="AA130">
        <v>153.79</v>
      </c>
      <c r="AB130" t="s">
        <v>303</v>
      </c>
      <c r="AC130" t="s">
        <v>94</v>
      </c>
    </row>
    <row r="131" spans="1:29" x14ac:dyDescent="0.25">
      <c r="A131" t="s">
        <v>304</v>
      </c>
      <c r="B131" t="s">
        <v>30</v>
      </c>
      <c r="C131" s="1">
        <v>45979</v>
      </c>
      <c r="D131" s="2">
        <v>45979</v>
      </c>
      <c r="E131" t="s">
        <v>31</v>
      </c>
      <c r="G131" t="s">
        <v>32</v>
      </c>
      <c r="H131">
        <v>53.28</v>
      </c>
      <c r="I131">
        <v>10.029999999999999</v>
      </c>
      <c r="J131">
        <v>2.5499999999999998</v>
      </c>
      <c r="K131">
        <v>2.83</v>
      </c>
      <c r="L131">
        <v>10.98</v>
      </c>
      <c r="M131">
        <v>5.41</v>
      </c>
      <c r="N131">
        <v>3.74</v>
      </c>
      <c r="O131">
        <v>1570000000</v>
      </c>
      <c r="P131">
        <v>1.42</v>
      </c>
      <c r="Q131">
        <v>-7.0000000000000001E-3</v>
      </c>
      <c r="R131">
        <v>-1.7999999999999999E-2</v>
      </c>
      <c r="S131">
        <v>-7.0000000000000001E-3</v>
      </c>
      <c r="T131">
        <v>2.1000000000000001E-2</v>
      </c>
      <c r="U131">
        <v>4.7E-2</v>
      </c>
      <c r="V131">
        <v>0.16300000000000001</v>
      </c>
      <c r="W131">
        <v>2.1000000000000001E-2</v>
      </c>
      <c r="X131">
        <v>-1.7999999999999999E-2</v>
      </c>
      <c r="Y131">
        <v>3.9E-2</v>
      </c>
      <c r="Z131">
        <v>54.4</v>
      </c>
      <c r="AA131">
        <v>52.3</v>
      </c>
      <c r="AB131" t="s">
        <v>305</v>
      </c>
      <c r="AC131" t="s">
        <v>38</v>
      </c>
    </row>
    <row r="132" spans="1:29" x14ac:dyDescent="0.25">
      <c r="A132" t="s">
        <v>306</v>
      </c>
      <c r="B132" t="s">
        <v>30</v>
      </c>
      <c r="C132" s="1">
        <v>45979</v>
      </c>
      <c r="D132" s="2">
        <v>45979</v>
      </c>
      <c r="E132" t="s">
        <v>31</v>
      </c>
      <c r="G132" t="s">
        <v>40</v>
      </c>
      <c r="H132">
        <v>11.86</v>
      </c>
      <c r="I132">
        <v>-3.24</v>
      </c>
      <c r="J132">
        <v>0.18</v>
      </c>
      <c r="K132">
        <v>0.37</v>
      </c>
      <c r="L132">
        <v>102.74</v>
      </c>
      <c r="N132">
        <v>14.7</v>
      </c>
      <c r="O132">
        <v>490940000</v>
      </c>
      <c r="P132">
        <v>0.85</v>
      </c>
      <c r="Q132">
        <v>-0.13700000000000001</v>
      </c>
      <c r="R132">
        <v>-0.1</v>
      </c>
      <c r="S132">
        <v>-5.5E-2</v>
      </c>
      <c r="T132">
        <v>-2.4E-2</v>
      </c>
      <c r="U132">
        <v>-3.4000000000000002E-2</v>
      </c>
      <c r="V132">
        <v>0.14000000000000001</v>
      </c>
      <c r="W132">
        <v>-2.4E-2</v>
      </c>
      <c r="X132">
        <v>-0.13700000000000001</v>
      </c>
      <c r="Y132">
        <v>0.112</v>
      </c>
      <c r="Z132">
        <v>11.57</v>
      </c>
      <c r="AA132">
        <v>10.24</v>
      </c>
      <c r="AB132" t="s">
        <v>307</v>
      </c>
      <c r="AC132" t="s">
        <v>47</v>
      </c>
    </row>
    <row r="133" spans="1:29" x14ac:dyDescent="0.25">
      <c r="A133" t="s">
        <v>308</v>
      </c>
      <c r="B133" t="s">
        <v>30</v>
      </c>
      <c r="C133" s="1">
        <v>45979</v>
      </c>
      <c r="D133" s="2">
        <v>45979</v>
      </c>
      <c r="E133" t="s">
        <v>31</v>
      </c>
      <c r="G133" t="s">
        <v>40</v>
      </c>
      <c r="H133">
        <v>19.2</v>
      </c>
      <c r="I133">
        <v>0.52</v>
      </c>
      <c r="J133">
        <v>0.27</v>
      </c>
      <c r="K133">
        <v>0.28999999999999998</v>
      </c>
      <c r="L133">
        <v>7.96</v>
      </c>
      <c r="M133">
        <v>36.29</v>
      </c>
      <c r="N133">
        <v>6.35</v>
      </c>
      <c r="O133">
        <v>2170000000</v>
      </c>
      <c r="P133">
        <v>0.76</v>
      </c>
      <c r="Q133">
        <v>-1.2999999999999999E-2</v>
      </c>
      <c r="R133">
        <v>-8.0000000000000002E-3</v>
      </c>
      <c r="S133">
        <v>2.9000000000000001E-2</v>
      </c>
      <c r="T133">
        <v>3.1E-2</v>
      </c>
      <c r="U133">
        <v>5.8000000000000003E-2</v>
      </c>
      <c r="V133">
        <v>0.24</v>
      </c>
      <c r="W133">
        <v>3.1E-2</v>
      </c>
      <c r="X133">
        <v>-2.5999999999999999E-2</v>
      </c>
      <c r="Y133">
        <v>5.8000000000000003E-2</v>
      </c>
      <c r="Z133">
        <v>19.79</v>
      </c>
      <c r="AA133">
        <v>18.690000000000001</v>
      </c>
      <c r="AB133" t="s">
        <v>309</v>
      </c>
      <c r="AC133" t="s">
        <v>38</v>
      </c>
    </row>
    <row r="134" spans="1:29" x14ac:dyDescent="0.25">
      <c r="A134" t="s">
        <v>310</v>
      </c>
      <c r="B134" t="s">
        <v>30</v>
      </c>
      <c r="C134" s="1">
        <v>45980</v>
      </c>
      <c r="D134" s="2">
        <v>45980</v>
      </c>
      <c r="E134" t="s">
        <v>31</v>
      </c>
      <c r="G134" t="s">
        <v>40</v>
      </c>
      <c r="H134">
        <v>16.829999999999998</v>
      </c>
      <c r="I134">
        <v>16.829999999999998</v>
      </c>
      <c r="J134">
        <v>0.47</v>
      </c>
      <c r="K134">
        <v>0.45</v>
      </c>
      <c r="L134">
        <v>-3.77</v>
      </c>
      <c r="M134">
        <v>60.1</v>
      </c>
      <c r="N134">
        <v>12.13</v>
      </c>
      <c r="O134">
        <v>4100000000</v>
      </c>
      <c r="P134">
        <v>-0.04</v>
      </c>
      <c r="Q134">
        <v>0.55300000000000005</v>
      </c>
      <c r="R134">
        <v>0.78</v>
      </c>
      <c r="S134">
        <v>0.91100000000000003</v>
      </c>
      <c r="T134">
        <v>0.99199999999999999</v>
      </c>
      <c r="U134">
        <v>0.871</v>
      </c>
      <c r="V134">
        <v>1.2470000000000001</v>
      </c>
      <c r="W134">
        <v>0.99199999999999999</v>
      </c>
      <c r="X134">
        <v>0.55300000000000005</v>
      </c>
      <c r="Y134">
        <v>0.439</v>
      </c>
      <c r="Z134">
        <v>33.520000000000003</v>
      </c>
      <c r="AA134">
        <v>26.14</v>
      </c>
      <c r="AB134" t="s">
        <v>311</v>
      </c>
      <c r="AC134" t="s">
        <v>47</v>
      </c>
    </row>
    <row r="135" spans="1:29" x14ac:dyDescent="0.25">
      <c r="A135" t="s">
        <v>312</v>
      </c>
      <c r="B135" t="s">
        <v>30</v>
      </c>
      <c r="C135" s="1">
        <v>45980</v>
      </c>
      <c r="D135" s="2">
        <v>45980</v>
      </c>
      <c r="E135" t="s">
        <v>31</v>
      </c>
      <c r="G135" t="s">
        <v>32</v>
      </c>
      <c r="H135">
        <v>9.15</v>
      </c>
      <c r="I135">
        <v>4.88</v>
      </c>
      <c r="J135">
        <v>-0.28000000000000003</v>
      </c>
      <c r="K135">
        <v>-0.71</v>
      </c>
      <c r="L135">
        <v>-153.57</v>
      </c>
      <c r="M135">
        <v>1.92</v>
      </c>
      <c r="O135">
        <v>1290000000</v>
      </c>
      <c r="P135">
        <v>1.1100000000000001</v>
      </c>
      <c r="Q135">
        <v>-8.1000000000000003E-2</v>
      </c>
      <c r="R135">
        <v>-1.6E-2</v>
      </c>
      <c r="S135">
        <v>2.4E-2</v>
      </c>
      <c r="T135">
        <v>1.9E-2</v>
      </c>
      <c r="U135">
        <v>6.0999999999999999E-2</v>
      </c>
      <c r="V135">
        <v>0.14899999999999999</v>
      </c>
      <c r="W135">
        <v>2.8000000000000001E-2</v>
      </c>
      <c r="X135">
        <v>-8.1000000000000003E-2</v>
      </c>
      <c r="Y135">
        <v>0.109</v>
      </c>
      <c r="Z135">
        <v>9.41</v>
      </c>
      <c r="AA135">
        <v>8.41</v>
      </c>
      <c r="AB135" t="s">
        <v>313</v>
      </c>
      <c r="AC135" t="s">
        <v>64</v>
      </c>
    </row>
    <row r="136" spans="1:29" x14ac:dyDescent="0.25">
      <c r="A136" t="s">
        <v>314</v>
      </c>
      <c r="B136" t="s">
        <v>30</v>
      </c>
      <c r="C136" s="1">
        <v>45980</v>
      </c>
      <c r="D136" s="2">
        <v>45980</v>
      </c>
      <c r="E136" t="s">
        <v>31</v>
      </c>
      <c r="G136" t="s">
        <v>40</v>
      </c>
      <c r="H136">
        <v>59.05</v>
      </c>
      <c r="I136">
        <v>-2.21</v>
      </c>
      <c r="J136">
        <v>0.98</v>
      </c>
      <c r="K136">
        <v>1.36</v>
      </c>
      <c r="L136">
        <v>39.340000000000003</v>
      </c>
      <c r="N136">
        <v>11.06</v>
      </c>
      <c r="O136">
        <v>2040000000</v>
      </c>
      <c r="P136">
        <v>0.37</v>
      </c>
      <c r="Q136">
        <v>6.3E-2</v>
      </c>
      <c r="R136">
        <v>8.1000000000000003E-2</v>
      </c>
      <c r="S136">
        <v>5.7000000000000002E-2</v>
      </c>
      <c r="T136">
        <v>5.8000000000000003E-2</v>
      </c>
      <c r="U136">
        <v>3.9E-2</v>
      </c>
      <c r="V136">
        <v>3.5999999999999997E-2</v>
      </c>
      <c r="W136">
        <v>8.1000000000000003E-2</v>
      </c>
      <c r="X136">
        <v>3.1E-2</v>
      </c>
      <c r="Y136">
        <v>5.0999999999999997E-2</v>
      </c>
      <c r="Z136">
        <v>63.86</v>
      </c>
      <c r="AA136">
        <v>60.86</v>
      </c>
      <c r="AB136" t="s">
        <v>315</v>
      </c>
      <c r="AC136" t="s">
        <v>129</v>
      </c>
    </row>
    <row r="137" spans="1:29" x14ac:dyDescent="0.25">
      <c r="A137" t="s">
        <v>316</v>
      </c>
      <c r="B137" t="s">
        <v>30</v>
      </c>
      <c r="C137" s="1">
        <v>45980</v>
      </c>
      <c r="D137" s="2">
        <v>45980</v>
      </c>
      <c r="E137" t="s">
        <v>31</v>
      </c>
      <c r="G137" t="s">
        <v>32</v>
      </c>
      <c r="H137">
        <v>37.01</v>
      </c>
      <c r="I137">
        <v>-0.17</v>
      </c>
      <c r="J137">
        <v>0.22</v>
      </c>
      <c r="K137">
        <v>0.2</v>
      </c>
      <c r="L137">
        <v>-6.37</v>
      </c>
      <c r="N137">
        <v>37.86</v>
      </c>
      <c r="O137">
        <v>5960000000</v>
      </c>
      <c r="P137">
        <v>1.25</v>
      </c>
      <c r="Q137">
        <v>-4.3999999999999997E-2</v>
      </c>
      <c r="R137">
        <v>0.04</v>
      </c>
      <c r="S137">
        <v>7.9000000000000001E-2</v>
      </c>
      <c r="T137">
        <v>7.8E-2</v>
      </c>
      <c r="U137">
        <v>9.8000000000000004E-2</v>
      </c>
      <c r="V137">
        <v>-0.14499999999999999</v>
      </c>
      <c r="W137">
        <v>9.1999999999999998E-2</v>
      </c>
      <c r="X137">
        <v>-4.3999999999999997E-2</v>
      </c>
      <c r="Y137">
        <v>0.13600000000000001</v>
      </c>
      <c r="Z137">
        <v>40.42</v>
      </c>
      <c r="AA137">
        <v>35.39</v>
      </c>
      <c r="AB137" t="s">
        <v>317</v>
      </c>
      <c r="AC137" t="s">
        <v>64</v>
      </c>
    </row>
    <row r="138" spans="1:29" x14ac:dyDescent="0.25">
      <c r="A138" t="s">
        <v>318</v>
      </c>
      <c r="B138" t="s">
        <v>36</v>
      </c>
      <c r="C138" s="1">
        <v>45981</v>
      </c>
      <c r="D138" s="2">
        <v>45981</v>
      </c>
      <c r="E138" t="s">
        <v>31</v>
      </c>
      <c r="G138" t="s">
        <v>40</v>
      </c>
      <c r="H138">
        <v>82.08</v>
      </c>
      <c r="I138">
        <v>-0.8</v>
      </c>
      <c r="J138">
        <v>0.57999999999999996</v>
      </c>
      <c r="K138">
        <v>0.64</v>
      </c>
      <c r="L138">
        <v>11.08</v>
      </c>
      <c r="N138">
        <v>33.200000000000003</v>
      </c>
      <c r="O138">
        <v>9530000000</v>
      </c>
      <c r="P138">
        <v>0.94</v>
      </c>
      <c r="Q138">
        <v>-0.14699999999999999</v>
      </c>
      <c r="R138">
        <v>-0.153</v>
      </c>
      <c r="S138">
        <v>-0.14099999999999999</v>
      </c>
      <c r="T138">
        <v>-0.12</v>
      </c>
      <c r="U138">
        <v>-0.09</v>
      </c>
      <c r="V138">
        <v>-0.25</v>
      </c>
      <c r="W138">
        <v>-0.12</v>
      </c>
      <c r="X138">
        <v>-0.159</v>
      </c>
      <c r="Y138">
        <v>3.9E-2</v>
      </c>
      <c r="Z138">
        <v>72.260000000000005</v>
      </c>
      <c r="AA138">
        <v>69.069999999999993</v>
      </c>
      <c r="AB138" t="s">
        <v>319</v>
      </c>
      <c r="AC138" t="s">
        <v>42</v>
      </c>
    </row>
    <row r="139" spans="1:29" x14ac:dyDescent="0.25">
      <c r="A139" t="s">
        <v>320</v>
      </c>
      <c r="B139" t="s">
        <v>321</v>
      </c>
      <c r="C139" s="1">
        <v>45981</v>
      </c>
      <c r="D139" s="2">
        <v>45981</v>
      </c>
      <c r="E139" t="s">
        <v>31</v>
      </c>
      <c r="G139" t="s">
        <v>40</v>
      </c>
      <c r="H139">
        <v>22.92</v>
      </c>
      <c r="I139">
        <v>2.33</v>
      </c>
      <c r="J139">
        <v>0.59</v>
      </c>
      <c r="K139">
        <v>0.62</v>
      </c>
      <c r="L139">
        <v>5.46</v>
      </c>
      <c r="M139">
        <v>10.42</v>
      </c>
      <c r="N139">
        <v>11.08</v>
      </c>
      <c r="O139">
        <v>9000000000</v>
      </c>
      <c r="P139">
        <v>2.25</v>
      </c>
      <c r="Q139">
        <v>8.2000000000000003E-2</v>
      </c>
      <c r="R139">
        <v>0.154</v>
      </c>
      <c r="S139">
        <v>0.17399999999999999</v>
      </c>
      <c r="T139">
        <v>0.16500000000000001</v>
      </c>
      <c r="U139">
        <v>0.152</v>
      </c>
      <c r="V139">
        <v>0.20699999999999999</v>
      </c>
      <c r="W139">
        <v>0.19400000000000001</v>
      </c>
      <c r="X139">
        <v>7.2999999999999995E-2</v>
      </c>
      <c r="Y139">
        <v>0.121</v>
      </c>
      <c r="Z139">
        <v>27.36</v>
      </c>
      <c r="AA139">
        <v>24.6</v>
      </c>
      <c r="AB139" t="s">
        <v>322</v>
      </c>
      <c r="AC139" t="s">
        <v>64</v>
      </c>
    </row>
    <row r="140" spans="1:29" x14ac:dyDescent="0.25">
      <c r="A140" t="s">
        <v>323</v>
      </c>
      <c r="B140" t="s">
        <v>30</v>
      </c>
      <c r="C140" s="1">
        <v>45981</v>
      </c>
      <c r="D140" s="2">
        <v>45981</v>
      </c>
      <c r="E140" t="s">
        <v>31</v>
      </c>
      <c r="G140" t="s">
        <v>32</v>
      </c>
      <c r="H140">
        <v>16.75</v>
      </c>
      <c r="I140">
        <v>16.63</v>
      </c>
      <c r="J140">
        <v>1.06</v>
      </c>
      <c r="K140">
        <v>1.03</v>
      </c>
      <c r="L140">
        <v>-2.98</v>
      </c>
      <c r="M140">
        <v>1.04</v>
      </c>
      <c r="O140">
        <v>2080000000</v>
      </c>
      <c r="P140">
        <v>1.64</v>
      </c>
      <c r="Q140">
        <v>8.9999999999999993E-3</v>
      </c>
      <c r="R140">
        <v>0.16500000000000001</v>
      </c>
      <c r="S140">
        <v>0.219</v>
      </c>
      <c r="T140">
        <v>0.17</v>
      </c>
      <c r="U140">
        <v>0.19600000000000001</v>
      </c>
      <c r="V140">
        <v>0.32500000000000001</v>
      </c>
      <c r="W140">
        <v>0.219</v>
      </c>
      <c r="X140">
        <v>8.9999999999999993E-3</v>
      </c>
      <c r="Y140">
        <v>0.21</v>
      </c>
      <c r="Z140">
        <v>20.41</v>
      </c>
      <c r="AA140">
        <v>16.899999999999999</v>
      </c>
      <c r="AB140" t="s">
        <v>324</v>
      </c>
      <c r="AC140" t="s">
        <v>38</v>
      </c>
    </row>
    <row r="141" spans="1:29" x14ac:dyDescent="0.25">
      <c r="A141" t="s">
        <v>325</v>
      </c>
      <c r="B141" t="s">
        <v>143</v>
      </c>
      <c r="C141" s="1">
        <v>45981</v>
      </c>
      <c r="D141" s="2">
        <v>45981</v>
      </c>
      <c r="E141" t="s">
        <v>31</v>
      </c>
      <c r="G141" t="s">
        <v>40</v>
      </c>
      <c r="H141">
        <v>34.79</v>
      </c>
      <c r="I141">
        <v>1.9</v>
      </c>
      <c r="J141">
        <v>-0.41</v>
      </c>
      <c r="K141">
        <v>-0.23</v>
      </c>
      <c r="L141">
        <v>43.9</v>
      </c>
      <c r="M141">
        <v>18.420000000000002</v>
      </c>
      <c r="N141">
        <v>10.8</v>
      </c>
      <c r="O141">
        <v>7510000000</v>
      </c>
      <c r="P141">
        <v>1.07</v>
      </c>
      <c r="Q141">
        <v>7.0999999999999994E-2</v>
      </c>
      <c r="R141">
        <v>0.104</v>
      </c>
      <c r="S141">
        <v>0.126</v>
      </c>
      <c r="T141">
        <v>8.5000000000000006E-2</v>
      </c>
      <c r="U141">
        <v>6.8000000000000005E-2</v>
      </c>
      <c r="V141">
        <v>0.114</v>
      </c>
      <c r="W141">
        <v>0.126</v>
      </c>
      <c r="X141">
        <v>7.0999999999999994E-2</v>
      </c>
      <c r="Y141">
        <v>5.5E-2</v>
      </c>
      <c r="Z141">
        <v>39.159999999999997</v>
      </c>
      <c r="AA141">
        <v>37.24</v>
      </c>
      <c r="AB141" t="s">
        <v>326</v>
      </c>
      <c r="AC141" t="s">
        <v>59</v>
      </c>
    </row>
    <row r="142" spans="1:29" x14ac:dyDescent="0.25">
      <c r="A142" t="s">
        <v>327</v>
      </c>
      <c r="B142" t="s">
        <v>30</v>
      </c>
      <c r="C142" s="1">
        <v>45982</v>
      </c>
      <c r="D142" s="2">
        <v>45982</v>
      </c>
      <c r="E142" t="s">
        <v>31</v>
      </c>
      <c r="G142" t="s">
        <v>32</v>
      </c>
      <c r="H142">
        <v>3.46</v>
      </c>
      <c r="I142">
        <v>-1.37</v>
      </c>
      <c r="J142">
        <v>-0.28999999999999998</v>
      </c>
      <c r="K142">
        <v>-0.41</v>
      </c>
      <c r="L142">
        <v>-42.61</v>
      </c>
      <c r="O142">
        <v>8200000000</v>
      </c>
      <c r="P142">
        <v>1.1000000000000001</v>
      </c>
      <c r="Q142">
        <v>-8.6999999999999994E-2</v>
      </c>
      <c r="R142">
        <v>-6.8000000000000005E-2</v>
      </c>
      <c r="S142">
        <v>-4.2000000000000003E-2</v>
      </c>
      <c r="T142">
        <v>-0.03</v>
      </c>
      <c r="U142">
        <v>-1.2999999999999999E-2</v>
      </c>
      <c r="V142">
        <v>-5.0999999999999997E-2</v>
      </c>
      <c r="W142">
        <v>-0.03</v>
      </c>
      <c r="X142">
        <v>-8.6999999999999994E-2</v>
      </c>
      <c r="Y142">
        <v>5.6000000000000001E-2</v>
      </c>
      <c r="Z142">
        <v>3.36</v>
      </c>
      <c r="AA142">
        <v>3.16</v>
      </c>
      <c r="AB142" t="s">
        <v>328</v>
      </c>
      <c r="AC142" t="s">
        <v>64</v>
      </c>
    </row>
    <row r="143" spans="1:29" x14ac:dyDescent="0.25">
      <c r="A143" t="s">
        <v>329</v>
      </c>
      <c r="B143" t="s">
        <v>30</v>
      </c>
      <c r="C143" s="1">
        <v>45985</v>
      </c>
      <c r="D143" s="2">
        <v>45985</v>
      </c>
      <c r="E143" t="s">
        <v>31</v>
      </c>
      <c r="G143" t="s">
        <v>40</v>
      </c>
      <c r="H143">
        <v>25.37</v>
      </c>
      <c r="I143">
        <v>0.27</v>
      </c>
      <c r="J143">
        <v>0.59</v>
      </c>
      <c r="K143">
        <v>0.63</v>
      </c>
      <c r="L143">
        <v>6.49</v>
      </c>
      <c r="M143">
        <v>108.32</v>
      </c>
      <c r="N143">
        <v>10.82</v>
      </c>
      <c r="O143">
        <v>7160000000</v>
      </c>
      <c r="P143">
        <v>-0.31</v>
      </c>
      <c r="Q143">
        <v>0.182</v>
      </c>
      <c r="R143">
        <v>0.128</v>
      </c>
      <c r="S143">
        <v>0.13200000000000001</v>
      </c>
      <c r="T143">
        <v>0.153</v>
      </c>
      <c r="U143">
        <v>0.13700000000000001</v>
      </c>
      <c r="V143">
        <v>0.222</v>
      </c>
      <c r="W143">
        <v>0.182</v>
      </c>
      <c r="X143">
        <v>0.112</v>
      </c>
      <c r="Y143">
        <v>7.0999999999999994E-2</v>
      </c>
      <c r="Z143">
        <v>30</v>
      </c>
      <c r="AA143">
        <v>28.21</v>
      </c>
      <c r="AB143" t="s">
        <v>330</v>
      </c>
      <c r="AC143" t="s">
        <v>38</v>
      </c>
    </row>
    <row r="144" spans="1:29" x14ac:dyDescent="0.25">
      <c r="A144" t="s">
        <v>331</v>
      </c>
      <c r="B144" t="s">
        <v>321</v>
      </c>
      <c r="C144" s="1">
        <v>45985</v>
      </c>
      <c r="D144" s="2">
        <v>45985</v>
      </c>
      <c r="E144" t="s">
        <v>31</v>
      </c>
      <c r="G144" t="s">
        <v>40</v>
      </c>
      <c r="H144">
        <v>78.599999999999994</v>
      </c>
      <c r="I144">
        <v>3.8</v>
      </c>
      <c r="J144">
        <v>0.81</v>
      </c>
      <c r="K144">
        <v>2.0099999999999998</v>
      </c>
      <c r="L144">
        <v>148.22999999999999</v>
      </c>
      <c r="M144">
        <v>20.71</v>
      </c>
      <c r="N144">
        <v>13.25</v>
      </c>
      <c r="O144">
        <v>23530000000</v>
      </c>
      <c r="P144">
        <v>0.82</v>
      </c>
      <c r="Q144">
        <v>9.8000000000000004E-2</v>
      </c>
      <c r="R144">
        <v>8.1000000000000003E-2</v>
      </c>
      <c r="S144">
        <v>7.5999999999999998E-2</v>
      </c>
      <c r="T144">
        <v>0.10199999999999999</v>
      </c>
      <c r="U144">
        <v>0.115</v>
      </c>
      <c r="V144">
        <v>0.17799999999999999</v>
      </c>
      <c r="W144">
        <v>0.10199999999999999</v>
      </c>
      <c r="X144">
        <v>7.3999999999999996E-2</v>
      </c>
      <c r="Y144">
        <v>2.7E-2</v>
      </c>
      <c r="Z144">
        <v>86.58</v>
      </c>
      <c r="AA144">
        <v>84.43</v>
      </c>
      <c r="AB144" t="s">
        <v>332</v>
      </c>
      <c r="AC144" t="s">
        <v>42</v>
      </c>
    </row>
    <row r="145" spans="1:29" x14ac:dyDescent="0.25">
      <c r="A145" t="s">
        <v>333</v>
      </c>
      <c r="B145" t="s">
        <v>30</v>
      </c>
      <c r="C145" s="1">
        <v>45985</v>
      </c>
      <c r="D145" s="2">
        <v>45985</v>
      </c>
      <c r="E145" t="s">
        <v>31</v>
      </c>
      <c r="G145" t="s">
        <v>32</v>
      </c>
      <c r="H145">
        <v>3.08</v>
      </c>
      <c r="I145">
        <v>-0.38</v>
      </c>
      <c r="J145">
        <v>-0.08</v>
      </c>
      <c r="K145">
        <v>-0.69</v>
      </c>
      <c r="L145">
        <v>-762.5</v>
      </c>
      <c r="O145">
        <v>377980000</v>
      </c>
      <c r="P145">
        <v>-0.69</v>
      </c>
      <c r="Q145">
        <v>-0.16900000000000001</v>
      </c>
      <c r="R145">
        <v>-0.182</v>
      </c>
      <c r="S145">
        <v>-0.24</v>
      </c>
      <c r="T145">
        <v>-0.21099999999999999</v>
      </c>
      <c r="U145">
        <v>-0.30199999999999999</v>
      </c>
      <c r="V145">
        <v>-0.41599999999999998</v>
      </c>
      <c r="W145">
        <v>-0.14599999999999999</v>
      </c>
      <c r="X145">
        <v>-0.24</v>
      </c>
      <c r="Y145">
        <v>9.4E-2</v>
      </c>
      <c r="Z145">
        <v>2.63</v>
      </c>
      <c r="AA145">
        <v>2.34</v>
      </c>
      <c r="AB145" t="s">
        <v>334</v>
      </c>
      <c r="AC145" t="s">
        <v>279</v>
      </c>
    </row>
    <row r="146" spans="1:29" x14ac:dyDescent="0.25">
      <c r="A146" t="s">
        <v>335</v>
      </c>
      <c r="B146" t="s">
        <v>321</v>
      </c>
      <c r="C146" s="1">
        <v>45986</v>
      </c>
      <c r="D146" s="2">
        <v>45986</v>
      </c>
      <c r="E146" t="s">
        <v>31</v>
      </c>
      <c r="G146" t="s">
        <v>32</v>
      </c>
      <c r="H146">
        <v>15.65</v>
      </c>
      <c r="I146">
        <v>1.83</v>
      </c>
      <c r="J146">
        <v>-0.18</v>
      </c>
      <c r="K146">
        <v>7.0000000000000007E-2</v>
      </c>
      <c r="L146">
        <v>139.04</v>
      </c>
      <c r="M146">
        <v>8.58</v>
      </c>
      <c r="N146">
        <v>22.39</v>
      </c>
      <c r="O146">
        <v>1760000000</v>
      </c>
      <c r="P146">
        <v>1.52</v>
      </c>
      <c r="Q146">
        <v>0.53200000000000003</v>
      </c>
      <c r="R146">
        <v>0.53400000000000003</v>
      </c>
      <c r="S146">
        <v>0.46</v>
      </c>
      <c r="T146">
        <v>0.46500000000000002</v>
      </c>
      <c r="U146">
        <v>0.51</v>
      </c>
      <c r="V146">
        <v>0.26900000000000002</v>
      </c>
      <c r="W146">
        <v>0.57099999999999995</v>
      </c>
      <c r="X146">
        <v>0.435</v>
      </c>
      <c r="Y146">
        <v>0.13500000000000001</v>
      </c>
      <c r="Z146">
        <v>24.58</v>
      </c>
      <c r="AA146">
        <v>22.46</v>
      </c>
      <c r="AB146" t="s">
        <v>336</v>
      </c>
      <c r="AC146" t="s">
        <v>64</v>
      </c>
    </row>
    <row r="147" spans="1:29" x14ac:dyDescent="0.25">
      <c r="A147" t="s">
        <v>337</v>
      </c>
      <c r="B147" t="s">
        <v>321</v>
      </c>
      <c r="C147" s="1">
        <v>45986</v>
      </c>
      <c r="D147" s="2">
        <v>45986</v>
      </c>
      <c r="E147" t="s">
        <v>31</v>
      </c>
      <c r="G147" t="s">
        <v>32</v>
      </c>
      <c r="H147">
        <v>16.45</v>
      </c>
      <c r="I147">
        <v>-2.72</v>
      </c>
      <c r="J147">
        <v>-0.3</v>
      </c>
      <c r="K147">
        <v>0.05</v>
      </c>
      <c r="L147">
        <v>116.53</v>
      </c>
      <c r="O147">
        <v>432860000</v>
      </c>
      <c r="P147">
        <v>1.24</v>
      </c>
      <c r="Q147">
        <v>0.13700000000000001</v>
      </c>
      <c r="R147">
        <v>0.03</v>
      </c>
      <c r="S147">
        <v>7.0000000000000001E-3</v>
      </c>
      <c r="T147">
        <v>-3.1E-2</v>
      </c>
      <c r="U147">
        <v>-0.01</v>
      </c>
      <c r="V147">
        <v>0.153</v>
      </c>
      <c r="W147">
        <v>0.13700000000000001</v>
      </c>
      <c r="X147">
        <v>-3.1E-2</v>
      </c>
      <c r="Y147">
        <v>0.16800000000000001</v>
      </c>
      <c r="Z147">
        <v>18.7</v>
      </c>
      <c r="AA147">
        <v>15.94</v>
      </c>
      <c r="AB147" t="s">
        <v>338</v>
      </c>
      <c r="AC147" t="s">
        <v>38</v>
      </c>
    </row>
    <row r="148" spans="1:29" x14ac:dyDescent="0.25">
      <c r="A148" t="s">
        <v>339</v>
      </c>
      <c r="B148" t="s">
        <v>321</v>
      </c>
      <c r="C148" s="1">
        <v>45986</v>
      </c>
      <c r="D148" s="2">
        <v>45986</v>
      </c>
      <c r="E148" t="s">
        <v>31</v>
      </c>
      <c r="G148" t="s">
        <v>32</v>
      </c>
      <c r="H148">
        <v>19.13</v>
      </c>
      <c r="I148">
        <v>0.97</v>
      </c>
      <c r="J148">
        <v>0.56999999999999995</v>
      </c>
      <c r="K148">
        <v>0.42</v>
      </c>
      <c r="L148">
        <v>-26.83</v>
      </c>
      <c r="M148">
        <v>21.49</v>
      </c>
      <c r="O148">
        <v>328390000</v>
      </c>
      <c r="P148">
        <v>0.91</v>
      </c>
      <c r="Q148">
        <v>9.5000000000000001E-2</v>
      </c>
      <c r="R148">
        <v>9.5000000000000001E-2</v>
      </c>
      <c r="S148">
        <v>0.09</v>
      </c>
      <c r="T148">
        <v>9.9000000000000005E-2</v>
      </c>
      <c r="U148">
        <v>0.10199999999999999</v>
      </c>
      <c r="V148">
        <v>0.27300000000000002</v>
      </c>
      <c r="W148">
        <v>9.9000000000000005E-2</v>
      </c>
      <c r="X148">
        <v>7.6999999999999999E-2</v>
      </c>
      <c r="Y148">
        <v>2.1999999999999999E-2</v>
      </c>
      <c r="Z148">
        <v>21.02</v>
      </c>
      <c r="AA148">
        <v>20.6</v>
      </c>
      <c r="AB148" t="s">
        <v>340</v>
      </c>
      <c r="AC148" t="s">
        <v>64</v>
      </c>
    </row>
    <row r="149" spans="1:29" x14ac:dyDescent="0.25">
      <c r="A149" t="s">
        <v>341</v>
      </c>
      <c r="B149" t="s">
        <v>30</v>
      </c>
      <c r="C149" s="1">
        <v>45986</v>
      </c>
      <c r="D149" s="2">
        <v>45986</v>
      </c>
      <c r="E149" t="s">
        <v>31</v>
      </c>
      <c r="G149" t="s">
        <v>32</v>
      </c>
      <c r="H149">
        <v>6.82</v>
      </c>
      <c r="I149">
        <v>1.71</v>
      </c>
      <c r="J149">
        <v>0.31</v>
      </c>
      <c r="K149">
        <v>0.36</v>
      </c>
      <c r="L149">
        <v>16.13</v>
      </c>
      <c r="M149">
        <v>3.97</v>
      </c>
      <c r="N149">
        <v>5.34</v>
      </c>
      <c r="O149">
        <v>250720000</v>
      </c>
      <c r="P149">
        <v>0.26</v>
      </c>
      <c r="Q149">
        <v>-7.0000000000000001E-3</v>
      </c>
      <c r="R149">
        <v>-1E-3</v>
      </c>
      <c r="S149">
        <v>0.01</v>
      </c>
      <c r="T149">
        <v>3.1E-2</v>
      </c>
      <c r="U149">
        <v>-8.9999999999999993E-3</v>
      </c>
      <c r="V149">
        <v>0.152</v>
      </c>
      <c r="W149">
        <v>3.1E-2</v>
      </c>
      <c r="X149">
        <v>-7.0000000000000001E-3</v>
      </c>
      <c r="Y149">
        <v>3.7999999999999999E-2</v>
      </c>
      <c r="Z149">
        <v>7.03</v>
      </c>
      <c r="AA149">
        <v>6.77</v>
      </c>
      <c r="AB149" t="s">
        <v>342</v>
      </c>
      <c r="AC149" t="s">
        <v>38</v>
      </c>
    </row>
    <row r="150" spans="1:29" x14ac:dyDescent="0.25">
      <c r="A150" t="s">
        <v>343</v>
      </c>
      <c r="B150" t="s">
        <v>30</v>
      </c>
      <c r="C150" s="1">
        <v>45987</v>
      </c>
      <c r="D150" s="2">
        <v>45987</v>
      </c>
      <c r="E150" t="s">
        <v>31</v>
      </c>
      <c r="G150" t="s">
        <v>32</v>
      </c>
      <c r="H150">
        <v>10.15</v>
      </c>
      <c r="I150">
        <v>1.23</v>
      </c>
      <c r="J150">
        <v>7.0000000000000007E-2</v>
      </c>
      <c r="K150">
        <v>-0.09</v>
      </c>
      <c r="L150">
        <v>-222.43</v>
      </c>
      <c r="M150">
        <v>8.16</v>
      </c>
      <c r="N150">
        <v>6.37</v>
      </c>
      <c r="O150">
        <v>2920000000</v>
      </c>
      <c r="P150">
        <v>0.02</v>
      </c>
      <c r="Q150">
        <v>7.8E-2</v>
      </c>
      <c r="R150">
        <v>6.6000000000000003E-2</v>
      </c>
      <c r="S150">
        <v>7.6999999999999999E-2</v>
      </c>
      <c r="T150">
        <v>6.0999999999999999E-2</v>
      </c>
      <c r="U150">
        <v>-3.1E-2</v>
      </c>
      <c r="V150">
        <v>0.26600000000000001</v>
      </c>
      <c r="W150">
        <v>9.0999999999999998E-2</v>
      </c>
      <c r="X150">
        <v>4.8000000000000001E-2</v>
      </c>
      <c r="Y150">
        <v>4.2000000000000003E-2</v>
      </c>
      <c r="Z150">
        <v>11.07</v>
      </c>
      <c r="AA150">
        <v>10.64</v>
      </c>
      <c r="AB150" t="s">
        <v>344</v>
      </c>
      <c r="AC150" t="s">
        <v>34</v>
      </c>
    </row>
    <row r="151" spans="1:29" x14ac:dyDescent="0.25">
      <c r="A151" t="s">
        <v>345</v>
      </c>
      <c r="B151" t="s">
        <v>321</v>
      </c>
      <c r="C151" s="1">
        <v>45993</v>
      </c>
      <c r="D151" s="2">
        <v>45993</v>
      </c>
      <c r="E151" t="s">
        <v>31</v>
      </c>
      <c r="G151" t="s">
        <v>40</v>
      </c>
      <c r="H151">
        <v>20.74</v>
      </c>
      <c r="I151">
        <v>1.04</v>
      </c>
      <c r="J151">
        <v>0.44</v>
      </c>
      <c r="K151">
        <v>0.53</v>
      </c>
      <c r="L151">
        <v>21.62</v>
      </c>
      <c r="M151">
        <v>19.64</v>
      </c>
      <c r="N151">
        <v>14.2</v>
      </c>
      <c r="O151">
        <v>3450000000</v>
      </c>
      <c r="P151">
        <v>1.42</v>
      </c>
      <c r="Q151">
        <v>0.151</v>
      </c>
      <c r="R151">
        <v>0.108</v>
      </c>
      <c r="S151">
        <v>0.14799999999999999</v>
      </c>
      <c r="T151">
        <v>0.20399999999999999</v>
      </c>
      <c r="U151">
        <v>0.313</v>
      </c>
      <c r="V151">
        <v>0.22900000000000001</v>
      </c>
      <c r="W151">
        <v>0.20399999999999999</v>
      </c>
      <c r="X151">
        <v>7.5999999999999998E-2</v>
      </c>
      <c r="Y151">
        <v>0.127</v>
      </c>
      <c r="Z151">
        <v>24.96</v>
      </c>
      <c r="AA151">
        <v>22.32</v>
      </c>
      <c r="AB151" t="s">
        <v>346</v>
      </c>
      <c r="AC151" t="s">
        <v>64</v>
      </c>
    </row>
    <row r="152" spans="1:29" x14ac:dyDescent="0.25">
      <c r="A152" t="s">
        <v>347</v>
      </c>
      <c r="B152" t="s">
        <v>30</v>
      </c>
      <c r="C152" s="1">
        <v>45994</v>
      </c>
      <c r="D152" s="2">
        <v>45975</v>
      </c>
      <c r="E152" t="s">
        <v>31</v>
      </c>
      <c r="G152" t="s">
        <v>32</v>
      </c>
      <c r="H152">
        <v>18.75</v>
      </c>
      <c r="I152">
        <v>-33.08</v>
      </c>
      <c r="N152">
        <v>6.16</v>
      </c>
      <c r="O152">
        <v>145260000</v>
      </c>
      <c r="P152">
        <v>1.34</v>
      </c>
      <c r="Q152">
        <v>3.5000000000000003E-2</v>
      </c>
      <c r="R152">
        <v>-4.3999999999999997E-2</v>
      </c>
      <c r="S152">
        <v>-7.8E-2</v>
      </c>
      <c r="T152">
        <v>-0.113</v>
      </c>
      <c r="U152">
        <v>-0.17899999999999999</v>
      </c>
      <c r="V152">
        <v>-0.55700000000000005</v>
      </c>
      <c r="W152">
        <v>3.5000000000000003E-2</v>
      </c>
      <c r="X152">
        <v>-0.113</v>
      </c>
      <c r="Y152">
        <v>0.14799999999999999</v>
      </c>
      <c r="Z152">
        <v>19.399999999999999</v>
      </c>
      <c r="AA152">
        <v>16.63</v>
      </c>
      <c r="AB152" t="s">
        <v>348</v>
      </c>
      <c r="AC152" t="s">
        <v>47</v>
      </c>
    </row>
    <row r="153" spans="1:29" x14ac:dyDescent="0.25">
      <c r="A153" t="s">
        <v>349</v>
      </c>
      <c r="B153" t="s">
        <v>321</v>
      </c>
      <c r="C153" s="1">
        <v>45994</v>
      </c>
      <c r="D153" s="2">
        <v>45994</v>
      </c>
      <c r="E153" t="s">
        <v>31</v>
      </c>
      <c r="G153" t="s">
        <v>40</v>
      </c>
      <c r="H153">
        <v>163.15</v>
      </c>
      <c r="I153">
        <v>5.57</v>
      </c>
      <c r="J153">
        <v>0.26</v>
      </c>
      <c r="K153">
        <v>0.68</v>
      </c>
      <c r="L153">
        <v>165.43</v>
      </c>
      <c r="M153">
        <v>31.1</v>
      </c>
      <c r="N153">
        <v>27.86</v>
      </c>
      <c r="O153">
        <v>9550000000</v>
      </c>
      <c r="P153">
        <v>1.1499999999999999</v>
      </c>
      <c r="Q153">
        <v>3.2000000000000001E-2</v>
      </c>
      <c r="R153">
        <v>7.0000000000000007E-2</v>
      </c>
      <c r="S153">
        <v>8.5999999999999993E-2</v>
      </c>
      <c r="T153">
        <v>0.124</v>
      </c>
      <c r="U153">
        <v>9.4E-2</v>
      </c>
      <c r="V153">
        <v>0.26200000000000001</v>
      </c>
      <c r="W153">
        <v>0.124</v>
      </c>
      <c r="X153">
        <v>3.2000000000000001E-2</v>
      </c>
      <c r="Y153">
        <v>9.1999999999999998E-2</v>
      </c>
      <c r="Z153">
        <v>183.41</v>
      </c>
      <c r="AA153">
        <v>168.42</v>
      </c>
      <c r="AB153" t="s">
        <v>350</v>
      </c>
      <c r="AC153" t="s">
        <v>64</v>
      </c>
    </row>
    <row r="154" spans="1:29" x14ac:dyDescent="0.25">
      <c r="A154" t="s">
        <v>351</v>
      </c>
      <c r="B154" t="s">
        <v>321</v>
      </c>
      <c r="C154" s="1">
        <v>45995</v>
      </c>
      <c r="D154" s="2">
        <v>45995</v>
      </c>
      <c r="E154" t="s">
        <v>31</v>
      </c>
      <c r="G154" t="s">
        <v>32</v>
      </c>
      <c r="H154">
        <v>109.42</v>
      </c>
      <c r="I154">
        <v>5.79</v>
      </c>
      <c r="J154">
        <v>0.93</v>
      </c>
      <c r="K154">
        <v>1.28</v>
      </c>
      <c r="L154">
        <v>37.549999999999997</v>
      </c>
      <c r="M154">
        <v>22.86</v>
      </c>
      <c r="N154">
        <v>18.7</v>
      </c>
      <c r="O154">
        <v>29140000000</v>
      </c>
      <c r="P154">
        <v>0.27</v>
      </c>
      <c r="Q154">
        <v>0.20499999999999999</v>
      </c>
      <c r="R154">
        <v>0.14199999999999999</v>
      </c>
      <c r="S154">
        <v>0.20699999999999999</v>
      </c>
      <c r="T154">
        <v>0.21</v>
      </c>
      <c r="U154">
        <v>0.24399999999999999</v>
      </c>
      <c r="V154">
        <v>0.40600000000000003</v>
      </c>
      <c r="W154">
        <v>0.21199999999999999</v>
      </c>
      <c r="X154">
        <v>0.13100000000000001</v>
      </c>
      <c r="Y154">
        <v>8.1000000000000003E-2</v>
      </c>
      <c r="Z154">
        <v>132.63999999999999</v>
      </c>
      <c r="AA154">
        <v>123.74</v>
      </c>
      <c r="AB154" t="s">
        <v>352</v>
      </c>
      <c r="AC154" t="s">
        <v>279</v>
      </c>
    </row>
    <row r="155" spans="1:29" x14ac:dyDescent="0.25">
      <c r="A155" t="s">
        <v>353</v>
      </c>
      <c r="B155" t="s">
        <v>321</v>
      </c>
      <c r="C155" s="1">
        <v>45995</v>
      </c>
      <c r="D155" s="2">
        <v>45995</v>
      </c>
      <c r="E155" t="s">
        <v>31</v>
      </c>
      <c r="G155" t="s">
        <v>32</v>
      </c>
      <c r="H155">
        <v>35.25</v>
      </c>
      <c r="I155">
        <v>-2.4500000000000002</v>
      </c>
      <c r="J155">
        <v>0.86</v>
      </c>
      <c r="K155">
        <v>0.79</v>
      </c>
      <c r="L155">
        <v>-8.14</v>
      </c>
      <c r="N155">
        <v>16.18</v>
      </c>
      <c r="O155">
        <v>387020000</v>
      </c>
      <c r="P155">
        <v>1.75</v>
      </c>
      <c r="Q155">
        <v>-0.35499999999999998</v>
      </c>
      <c r="R155">
        <v>-0.33600000000000002</v>
      </c>
      <c r="S155">
        <v>-0.313</v>
      </c>
      <c r="T155">
        <v>-0.32900000000000001</v>
      </c>
      <c r="U155">
        <v>-0.32100000000000001</v>
      </c>
      <c r="V155">
        <v>-0.215</v>
      </c>
      <c r="W155">
        <v>-0.313</v>
      </c>
      <c r="X155">
        <v>-0.35499999999999998</v>
      </c>
      <c r="Y155">
        <v>4.2999999999999997E-2</v>
      </c>
      <c r="Z155">
        <v>24.23</v>
      </c>
      <c r="AA155">
        <v>22.73</v>
      </c>
      <c r="AB155" t="s">
        <v>354</v>
      </c>
      <c r="AC155" t="s">
        <v>64</v>
      </c>
    </row>
    <row r="156" spans="1:29" x14ac:dyDescent="0.25">
      <c r="A156" t="s">
        <v>355</v>
      </c>
      <c r="B156" t="s">
        <v>321</v>
      </c>
      <c r="C156" s="1">
        <v>45995</v>
      </c>
      <c r="D156" s="2">
        <v>45995</v>
      </c>
      <c r="E156" t="s">
        <v>31</v>
      </c>
      <c r="G156" t="s">
        <v>32</v>
      </c>
      <c r="I156">
        <v>0.24</v>
      </c>
      <c r="J156">
        <v>1.24</v>
      </c>
      <c r="K156">
        <v>1.59</v>
      </c>
      <c r="L156">
        <v>28.61</v>
      </c>
      <c r="M156">
        <v>324.27999999999997</v>
      </c>
      <c r="N156">
        <v>17.77</v>
      </c>
      <c r="O156">
        <v>5610000000</v>
      </c>
      <c r="P156">
        <v>1.24</v>
      </c>
      <c r="AB156" t="s">
        <v>356</v>
      </c>
      <c r="AC156" t="s">
        <v>64</v>
      </c>
    </row>
    <row r="157" spans="1:29" x14ac:dyDescent="0.25">
      <c r="A157" t="s">
        <v>357</v>
      </c>
      <c r="B157" t="s">
        <v>321</v>
      </c>
      <c r="C157" s="1">
        <v>45999</v>
      </c>
      <c r="D157" s="2">
        <v>45999</v>
      </c>
      <c r="E157" t="s">
        <v>31</v>
      </c>
      <c r="G157" t="s">
        <v>40</v>
      </c>
      <c r="H157">
        <v>8.82</v>
      </c>
      <c r="I157">
        <v>-0.01</v>
      </c>
      <c r="J157">
        <v>0.12</v>
      </c>
      <c r="K157">
        <v>0.14000000000000001</v>
      </c>
      <c r="L157">
        <v>16.670000000000002</v>
      </c>
      <c r="N157">
        <v>14.01</v>
      </c>
      <c r="O157">
        <v>1020000000</v>
      </c>
      <c r="P157">
        <v>0.96</v>
      </c>
      <c r="Q157">
        <v>-4.4999999999999998E-2</v>
      </c>
      <c r="R157">
        <v>-4.5999999999999999E-2</v>
      </c>
      <c r="S157">
        <v>-5.7000000000000002E-2</v>
      </c>
      <c r="T157">
        <v>-4.3999999999999997E-2</v>
      </c>
      <c r="U157">
        <v>-5.1999999999999998E-2</v>
      </c>
      <c r="V157">
        <v>-0.36799999999999999</v>
      </c>
      <c r="W157">
        <v>-3.5000000000000003E-2</v>
      </c>
      <c r="X157">
        <v>-5.8000000000000003E-2</v>
      </c>
      <c r="Y157">
        <v>2.3E-2</v>
      </c>
      <c r="Z157">
        <v>8.51</v>
      </c>
      <c r="AA157">
        <v>8.31</v>
      </c>
      <c r="AB157" t="s">
        <v>358</v>
      </c>
      <c r="AC157" t="s">
        <v>42</v>
      </c>
    </row>
    <row r="158" spans="1:29" x14ac:dyDescent="0.25">
      <c r="A158" t="s">
        <v>359</v>
      </c>
      <c r="B158" t="s">
        <v>143</v>
      </c>
      <c r="C158" s="1">
        <v>45999</v>
      </c>
      <c r="D158" s="2">
        <v>45999</v>
      </c>
      <c r="E158" t="s">
        <v>31</v>
      </c>
      <c r="G158" t="s">
        <v>40</v>
      </c>
      <c r="H158">
        <v>20.63</v>
      </c>
      <c r="I158">
        <v>-2.91</v>
      </c>
      <c r="J158">
        <v>-0.23</v>
      </c>
      <c r="K158">
        <v>-0.17</v>
      </c>
      <c r="L158">
        <v>25.34</v>
      </c>
      <c r="N158">
        <v>35.44</v>
      </c>
      <c r="O158">
        <v>842950000</v>
      </c>
      <c r="P158">
        <v>1.18</v>
      </c>
      <c r="Q158">
        <v>-0.13800000000000001</v>
      </c>
      <c r="R158">
        <v>-0.14199999999999999</v>
      </c>
      <c r="S158">
        <v>-0.10199999999999999</v>
      </c>
      <c r="T158">
        <v>-8.1000000000000003E-2</v>
      </c>
      <c r="U158">
        <v>-2.7E-2</v>
      </c>
      <c r="V158">
        <v>0.16300000000000001</v>
      </c>
      <c r="W158">
        <v>-0.08</v>
      </c>
      <c r="X158">
        <v>-0.16300000000000001</v>
      </c>
      <c r="Y158">
        <v>8.3000000000000004E-2</v>
      </c>
      <c r="Z158">
        <v>18.98</v>
      </c>
      <c r="AA158">
        <v>17.260000000000002</v>
      </c>
      <c r="AB158" t="s">
        <v>360</v>
      </c>
      <c r="AC158" t="s">
        <v>158</v>
      </c>
    </row>
    <row r="159" spans="1:29" x14ac:dyDescent="0.25">
      <c r="A159" t="s">
        <v>361</v>
      </c>
      <c r="B159" t="s">
        <v>143</v>
      </c>
      <c r="C159" s="1">
        <v>45999</v>
      </c>
      <c r="D159" s="2">
        <v>45999</v>
      </c>
      <c r="E159" t="s">
        <v>31</v>
      </c>
      <c r="G159" t="s">
        <v>40</v>
      </c>
      <c r="H159">
        <v>135.94999999999999</v>
      </c>
      <c r="I159">
        <v>13.56</v>
      </c>
      <c r="J159">
        <v>4.88</v>
      </c>
      <c r="K159">
        <v>4.58</v>
      </c>
      <c r="L159">
        <v>-6.05</v>
      </c>
      <c r="M159">
        <v>10.26</v>
      </c>
      <c r="N159">
        <v>9.6300000000000008</v>
      </c>
      <c r="O159">
        <v>13410000000</v>
      </c>
      <c r="P159">
        <v>1.42</v>
      </c>
      <c r="Q159">
        <v>-2.4E-2</v>
      </c>
      <c r="R159">
        <v>2.7E-2</v>
      </c>
      <c r="S159">
        <v>3.1E-2</v>
      </c>
      <c r="T159">
        <v>2.1999999999999999E-2</v>
      </c>
      <c r="U159">
        <v>2.5000000000000001E-2</v>
      </c>
      <c r="V159">
        <v>0.222</v>
      </c>
      <c r="W159">
        <v>3.1E-2</v>
      </c>
      <c r="X159">
        <v>-2.4E-2</v>
      </c>
      <c r="Y159">
        <v>5.5E-2</v>
      </c>
      <c r="Z159">
        <v>140.19999999999999</v>
      </c>
      <c r="AA159">
        <v>132.72999999999999</v>
      </c>
      <c r="AB159" t="s">
        <v>362</v>
      </c>
      <c r="AC159" t="s">
        <v>64</v>
      </c>
    </row>
    <row r="160" spans="1:29" x14ac:dyDescent="0.25">
      <c r="A160" t="s">
        <v>363</v>
      </c>
      <c r="B160" t="s">
        <v>321</v>
      </c>
      <c r="C160" s="1">
        <v>45999</v>
      </c>
      <c r="D160" s="2">
        <v>45999</v>
      </c>
      <c r="E160" t="s">
        <v>31</v>
      </c>
      <c r="G160" t="s">
        <v>40</v>
      </c>
      <c r="H160">
        <v>11.18</v>
      </c>
      <c r="I160">
        <v>0.12</v>
      </c>
      <c r="J160">
        <v>-0.01</v>
      </c>
      <c r="K160">
        <v>0.03</v>
      </c>
      <c r="L160">
        <v>408</v>
      </c>
      <c r="M160">
        <v>114.03</v>
      </c>
      <c r="N160">
        <v>58.46</v>
      </c>
      <c r="O160">
        <v>541910000</v>
      </c>
      <c r="P160">
        <v>0.81</v>
      </c>
      <c r="Q160">
        <v>0.28100000000000003</v>
      </c>
      <c r="R160">
        <v>0.19800000000000001</v>
      </c>
      <c r="S160">
        <v>0.215</v>
      </c>
      <c r="T160">
        <v>0.253</v>
      </c>
      <c r="U160">
        <v>0.22600000000000001</v>
      </c>
      <c r="V160">
        <v>0.38900000000000001</v>
      </c>
      <c r="W160">
        <v>0.28100000000000003</v>
      </c>
      <c r="X160">
        <v>0.17100000000000001</v>
      </c>
      <c r="Y160">
        <v>0.11</v>
      </c>
      <c r="Z160">
        <v>14.32</v>
      </c>
      <c r="AA160">
        <v>13.09</v>
      </c>
      <c r="AB160" t="s">
        <v>364</v>
      </c>
      <c r="AC160" t="s">
        <v>279</v>
      </c>
    </row>
    <row r="161" spans="1:29" x14ac:dyDescent="0.25">
      <c r="A161" t="s">
        <v>365</v>
      </c>
      <c r="B161" t="s">
        <v>321</v>
      </c>
      <c r="C161" s="1">
        <v>46000</v>
      </c>
      <c r="D161" s="2">
        <v>46000</v>
      </c>
      <c r="E161" t="s">
        <v>31</v>
      </c>
      <c r="G161" t="s">
        <v>40</v>
      </c>
      <c r="H161">
        <v>30.65</v>
      </c>
      <c r="I161">
        <v>-1.1000000000000001</v>
      </c>
      <c r="J161">
        <v>7.0000000000000007E-2</v>
      </c>
      <c r="K161">
        <v>0.06</v>
      </c>
      <c r="L161">
        <v>-8.6199999999999992</v>
      </c>
      <c r="N161">
        <v>52.22</v>
      </c>
      <c r="O161">
        <v>3720000000</v>
      </c>
      <c r="P161">
        <v>1.1000000000000001</v>
      </c>
      <c r="Q161">
        <v>0.18099999999999999</v>
      </c>
      <c r="R161">
        <v>8.1000000000000003E-2</v>
      </c>
      <c r="S161">
        <v>0.107</v>
      </c>
      <c r="T161">
        <v>0.16300000000000001</v>
      </c>
      <c r="U161">
        <v>0.17199999999999999</v>
      </c>
      <c r="V161">
        <v>-0.42599999999999999</v>
      </c>
      <c r="W161">
        <v>0.18099999999999999</v>
      </c>
      <c r="X161">
        <v>8.1000000000000003E-2</v>
      </c>
      <c r="Y161">
        <v>0.1</v>
      </c>
      <c r="Z161">
        <v>36.19</v>
      </c>
      <c r="AA161">
        <v>33.119999999999997</v>
      </c>
      <c r="AB161" t="s">
        <v>366</v>
      </c>
      <c r="AC161" t="s">
        <v>42</v>
      </c>
    </row>
    <row r="162" spans="1:29" x14ac:dyDescent="0.25">
      <c r="A162" t="s">
        <v>367</v>
      </c>
      <c r="B162" t="s">
        <v>36</v>
      </c>
      <c r="C162" s="1">
        <v>46000</v>
      </c>
      <c r="D162" s="2">
        <v>46000</v>
      </c>
      <c r="E162" t="s">
        <v>31</v>
      </c>
      <c r="G162" t="s">
        <v>40</v>
      </c>
      <c r="H162">
        <v>562.71</v>
      </c>
      <c r="I162">
        <v>16.260000000000002</v>
      </c>
      <c r="J162">
        <v>5.2</v>
      </c>
      <c r="K162">
        <v>5.53</v>
      </c>
      <c r="L162">
        <v>6.26</v>
      </c>
      <c r="M162">
        <v>33.21</v>
      </c>
      <c r="N162">
        <v>28.62</v>
      </c>
      <c r="O162">
        <v>20020000000</v>
      </c>
      <c r="P162">
        <v>0.67</v>
      </c>
      <c r="Q162">
        <v>-5.2999999999999999E-2</v>
      </c>
      <c r="R162">
        <v>-4.1000000000000002E-2</v>
      </c>
      <c r="S162">
        <v>-1.9E-2</v>
      </c>
      <c r="T162">
        <v>-2.8000000000000001E-2</v>
      </c>
      <c r="U162">
        <v>7.0000000000000001E-3</v>
      </c>
      <c r="V162">
        <v>0.183</v>
      </c>
      <c r="W162">
        <v>-1.4999999999999999E-2</v>
      </c>
      <c r="X162">
        <v>-5.2999999999999999E-2</v>
      </c>
      <c r="Y162">
        <v>3.7999999999999999E-2</v>
      </c>
      <c r="Z162">
        <v>554.21</v>
      </c>
      <c r="AA162">
        <v>532.67999999999995</v>
      </c>
      <c r="AB162" t="s">
        <v>368</v>
      </c>
      <c r="AC162" t="s">
        <v>64</v>
      </c>
    </row>
    <row r="163" spans="1:29" x14ac:dyDescent="0.25">
      <c r="A163" t="s">
        <v>369</v>
      </c>
      <c r="B163" t="s">
        <v>143</v>
      </c>
      <c r="C163" s="1">
        <v>46001</v>
      </c>
      <c r="D163" s="2">
        <v>46001</v>
      </c>
      <c r="E163" t="s">
        <v>31</v>
      </c>
      <c r="G163" t="s">
        <v>32</v>
      </c>
      <c r="H163">
        <v>12.62</v>
      </c>
      <c r="I163">
        <v>0.65</v>
      </c>
      <c r="J163">
        <v>0.24</v>
      </c>
      <c r="K163">
        <v>0.24</v>
      </c>
      <c r="L163">
        <v>-2.35</v>
      </c>
      <c r="M163">
        <v>22.34</v>
      </c>
      <c r="N163">
        <v>6.87</v>
      </c>
      <c r="O163">
        <v>465180000</v>
      </c>
      <c r="P163">
        <v>0.91</v>
      </c>
      <c r="Q163">
        <v>0.13300000000000001</v>
      </c>
      <c r="R163">
        <v>0.14000000000000001</v>
      </c>
      <c r="S163">
        <v>0.14399999999999999</v>
      </c>
      <c r="T163">
        <v>0.19400000000000001</v>
      </c>
      <c r="U163">
        <v>0.189</v>
      </c>
      <c r="V163">
        <v>0.28100000000000003</v>
      </c>
      <c r="W163">
        <v>0.19400000000000001</v>
      </c>
      <c r="X163">
        <v>0.13300000000000001</v>
      </c>
      <c r="Y163">
        <v>6.0999999999999999E-2</v>
      </c>
      <c r="Z163">
        <v>15.07</v>
      </c>
      <c r="AA163">
        <v>14.3</v>
      </c>
      <c r="AB163" t="s">
        <v>370</v>
      </c>
      <c r="AC163" t="s">
        <v>94</v>
      </c>
    </row>
    <row r="164" spans="1:29" x14ac:dyDescent="0.25">
      <c r="A164" t="s">
        <v>371</v>
      </c>
      <c r="B164" t="s">
        <v>143</v>
      </c>
      <c r="C164" s="1">
        <v>46001</v>
      </c>
      <c r="D164" s="2">
        <v>46001</v>
      </c>
      <c r="E164" t="s">
        <v>31</v>
      </c>
      <c r="G164" t="s">
        <v>32</v>
      </c>
      <c r="H164">
        <v>25.69</v>
      </c>
      <c r="I164">
        <v>2.29</v>
      </c>
      <c r="J164">
        <v>0.45</v>
      </c>
      <c r="K164">
        <v>0.6</v>
      </c>
      <c r="L164">
        <v>34.83</v>
      </c>
      <c r="M164">
        <v>15.83</v>
      </c>
      <c r="N164">
        <v>15.72</v>
      </c>
      <c r="O164">
        <v>2140000000</v>
      </c>
      <c r="P164">
        <v>1.54</v>
      </c>
      <c r="Q164">
        <v>0.54400000000000004</v>
      </c>
      <c r="R164">
        <v>0.43099999999999999</v>
      </c>
      <c r="S164">
        <v>0.28299999999999997</v>
      </c>
      <c r="T164">
        <v>0.28799999999999998</v>
      </c>
      <c r="U164">
        <v>0.311</v>
      </c>
      <c r="V164">
        <v>0.51</v>
      </c>
      <c r="W164">
        <v>0.54400000000000004</v>
      </c>
      <c r="X164">
        <v>0.27900000000000003</v>
      </c>
      <c r="Y164">
        <v>0.26500000000000001</v>
      </c>
      <c r="Z164">
        <v>39.67</v>
      </c>
      <c r="AA164">
        <v>32.869999999999997</v>
      </c>
      <c r="AB164" t="s">
        <v>372</v>
      </c>
      <c r="AC164" t="s">
        <v>42</v>
      </c>
    </row>
    <row r="165" spans="1:29" x14ac:dyDescent="0.25">
      <c r="A165" t="s">
        <v>373</v>
      </c>
      <c r="B165" t="s">
        <v>143</v>
      </c>
      <c r="C165" s="1">
        <v>46001</v>
      </c>
      <c r="D165" s="2">
        <v>46001</v>
      </c>
      <c r="E165" t="s">
        <v>31</v>
      </c>
      <c r="G165" t="s">
        <v>40</v>
      </c>
      <c r="H165">
        <v>9.34</v>
      </c>
      <c r="I165">
        <v>-2.12</v>
      </c>
      <c r="J165">
        <v>0.01</v>
      </c>
      <c r="K165">
        <v>0.1</v>
      </c>
      <c r="L165">
        <v>1900</v>
      </c>
      <c r="O165">
        <v>157640000</v>
      </c>
      <c r="P165">
        <v>1.7</v>
      </c>
      <c r="Q165">
        <v>0.17699999999999999</v>
      </c>
      <c r="R165">
        <v>0.23599999999999999</v>
      </c>
      <c r="S165">
        <v>0.30499999999999999</v>
      </c>
      <c r="T165">
        <v>0.30599999999999999</v>
      </c>
      <c r="U165">
        <v>0.33600000000000002</v>
      </c>
      <c r="V165">
        <v>0.223</v>
      </c>
      <c r="W165">
        <v>0.30599999999999999</v>
      </c>
      <c r="X165">
        <v>0.17599999999999999</v>
      </c>
      <c r="Y165">
        <v>0.13100000000000001</v>
      </c>
      <c r="Z165">
        <v>12.2</v>
      </c>
      <c r="AA165">
        <v>10.98</v>
      </c>
      <c r="AB165" t="s">
        <v>374</v>
      </c>
      <c r="AC165" t="s">
        <v>42</v>
      </c>
    </row>
    <row r="166" spans="1:29" x14ac:dyDescent="0.25">
      <c r="A166" t="s">
        <v>375</v>
      </c>
      <c r="B166" t="s">
        <v>36</v>
      </c>
      <c r="C166" s="1">
        <v>46002</v>
      </c>
      <c r="D166" s="2">
        <v>46002</v>
      </c>
      <c r="E166" t="s">
        <v>31</v>
      </c>
      <c r="G166" t="s">
        <v>40</v>
      </c>
      <c r="H166">
        <v>5.36</v>
      </c>
      <c r="I166">
        <v>-0.04</v>
      </c>
      <c r="J166">
        <v>-0.01</v>
      </c>
      <c r="K166">
        <v>-0.02</v>
      </c>
      <c r="L166">
        <v>-33.33</v>
      </c>
      <c r="O166">
        <v>1780000000</v>
      </c>
      <c r="P166">
        <v>1.22</v>
      </c>
      <c r="Q166">
        <v>-3.4000000000000002E-2</v>
      </c>
      <c r="R166">
        <v>-3.9E-2</v>
      </c>
      <c r="S166">
        <v>-4.9000000000000002E-2</v>
      </c>
      <c r="T166">
        <v>7.8E-2</v>
      </c>
      <c r="U166">
        <v>0.104</v>
      </c>
      <c r="V166">
        <v>-0.28399999999999997</v>
      </c>
      <c r="W166">
        <v>7.8E-2</v>
      </c>
      <c r="X166">
        <v>-4.9000000000000002E-2</v>
      </c>
      <c r="Y166">
        <v>0.127</v>
      </c>
      <c r="Z166">
        <v>5.78</v>
      </c>
      <c r="AA166">
        <v>5.0999999999999996</v>
      </c>
      <c r="AB166" t="s">
        <v>376</v>
      </c>
      <c r="AC166" t="s">
        <v>158</v>
      </c>
    </row>
    <row r="167" spans="1:29" x14ac:dyDescent="0.25">
      <c r="A167" t="s">
        <v>377</v>
      </c>
      <c r="B167" t="s">
        <v>321</v>
      </c>
      <c r="C167" s="1">
        <v>46002</v>
      </c>
      <c r="D167" s="2">
        <v>46002</v>
      </c>
      <c r="E167" t="s">
        <v>31</v>
      </c>
      <c r="G167" t="s">
        <v>32</v>
      </c>
      <c r="H167">
        <v>10.78</v>
      </c>
      <c r="I167">
        <v>-1.22</v>
      </c>
      <c r="J167">
        <v>-0.14000000000000001</v>
      </c>
      <c r="K167">
        <v>-0.04</v>
      </c>
      <c r="L167">
        <v>70.64</v>
      </c>
      <c r="N167">
        <v>9.1199999999999992</v>
      </c>
      <c r="O167">
        <v>115670000</v>
      </c>
      <c r="P167">
        <v>1.41</v>
      </c>
      <c r="Q167">
        <v>-1.4E-2</v>
      </c>
      <c r="R167">
        <v>1E-3</v>
      </c>
      <c r="S167">
        <v>-0.02</v>
      </c>
      <c r="T167">
        <v>2.5000000000000001E-2</v>
      </c>
      <c r="U167">
        <v>4.1000000000000002E-2</v>
      </c>
      <c r="V167">
        <v>0.39600000000000002</v>
      </c>
      <c r="W167">
        <v>2.5000000000000001E-2</v>
      </c>
      <c r="X167">
        <v>-3.6999999999999998E-2</v>
      </c>
      <c r="Y167">
        <v>6.0999999999999999E-2</v>
      </c>
      <c r="Z167">
        <v>11.05</v>
      </c>
      <c r="AA167">
        <v>10.39</v>
      </c>
      <c r="AB167" t="s">
        <v>378</v>
      </c>
      <c r="AC167" t="s">
        <v>64</v>
      </c>
    </row>
    <row r="168" spans="1:29" x14ac:dyDescent="0.25">
      <c r="A168" t="s">
        <v>379</v>
      </c>
      <c r="B168" t="s">
        <v>30</v>
      </c>
      <c r="C168" s="1">
        <v>46003</v>
      </c>
      <c r="D168" s="2">
        <v>46003</v>
      </c>
      <c r="E168" t="s">
        <v>31</v>
      </c>
      <c r="G168" t="s">
        <v>32</v>
      </c>
      <c r="H168">
        <v>5.63</v>
      </c>
      <c r="I168">
        <v>-1.21</v>
      </c>
      <c r="J168">
        <v>-4.96</v>
      </c>
      <c r="K168">
        <v>-4.9400000000000004</v>
      </c>
      <c r="L168">
        <v>0.4</v>
      </c>
      <c r="O168">
        <v>222050000</v>
      </c>
      <c r="P168">
        <v>1.35</v>
      </c>
      <c r="Q168">
        <v>0.33700000000000002</v>
      </c>
      <c r="R168">
        <v>0.55200000000000005</v>
      </c>
      <c r="S168">
        <v>0.55400000000000005</v>
      </c>
      <c r="T168">
        <v>0.48799999999999999</v>
      </c>
      <c r="U168">
        <v>0.53600000000000003</v>
      </c>
      <c r="V168">
        <v>0.06</v>
      </c>
      <c r="W168">
        <v>0.56000000000000005</v>
      </c>
      <c r="X168">
        <v>0.33700000000000002</v>
      </c>
      <c r="Y168">
        <v>0.222</v>
      </c>
      <c r="Z168">
        <v>8.7799999999999994</v>
      </c>
      <c r="AA168">
        <v>7.53</v>
      </c>
      <c r="AB168" t="s">
        <v>380</v>
      </c>
      <c r="AC168" t="s">
        <v>64</v>
      </c>
    </row>
    <row r="169" spans="1:29" x14ac:dyDescent="0.25">
      <c r="A169" t="s">
        <v>381</v>
      </c>
      <c r="B169" t="s">
        <v>143</v>
      </c>
      <c r="C169" s="1">
        <v>46006</v>
      </c>
      <c r="D169" s="2">
        <v>46006</v>
      </c>
      <c r="E169" t="s">
        <v>31</v>
      </c>
      <c r="G169" t="s">
        <v>32</v>
      </c>
      <c r="H169">
        <v>2.61</v>
      </c>
      <c r="I169">
        <v>-0.25</v>
      </c>
      <c r="J169">
        <v>-0.02</v>
      </c>
      <c r="K169">
        <v>-0.08</v>
      </c>
      <c r="L169">
        <v>-300</v>
      </c>
      <c r="O169">
        <v>154990000</v>
      </c>
      <c r="P169">
        <v>0.42</v>
      </c>
      <c r="Q169">
        <v>0.34899999999999998</v>
      </c>
      <c r="R169">
        <v>0.34499999999999997</v>
      </c>
      <c r="S169">
        <v>0.35199999999999998</v>
      </c>
      <c r="T169">
        <v>0.35199999999999998</v>
      </c>
      <c r="U169">
        <v>0.35199999999999998</v>
      </c>
      <c r="V169">
        <v>0.36799999999999999</v>
      </c>
      <c r="W169">
        <v>0.35199999999999998</v>
      </c>
      <c r="X169">
        <v>0.34499999999999997</v>
      </c>
      <c r="Y169">
        <v>8.0000000000000002E-3</v>
      </c>
      <c r="Z169">
        <v>3.53</v>
      </c>
      <c r="AA169">
        <v>3.51</v>
      </c>
      <c r="AB169" t="s">
        <v>382</v>
      </c>
      <c r="AC169" t="s">
        <v>47</v>
      </c>
    </row>
    <row r="170" spans="1:29" x14ac:dyDescent="0.25">
      <c r="A170" t="s">
        <v>383</v>
      </c>
      <c r="B170" t="s">
        <v>143</v>
      </c>
      <c r="C170" s="1">
        <v>46007</v>
      </c>
      <c r="D170" s="2">
        <v>46007</v>
      </c>
      <c r="E170" t="s">
        <v>31</v>
      </c>
      <c r="G170" t="s">
        <v>32</v>
      </c>
      <c r="H170">
        <v>1.8</v>
      </c>
      <c r="I170">
        <v>-0.16</v>
      </c>
      <c r="J170">
        <v>-0.01</v>
      </c>
      <c r="K170">
        <v>-0.2</v>
      </c>
      <c r="L170">
        <v>-2827.14</v>
      </c>
      <c r="N170">
        <v>38.450000000000003</v>
      </c>
      <c r="O170">
        <v>271350000</v>
      </c>
      <c r="P170">
        <v>1.47</v>
      </c>
      <c r="Q170">
        <v>0.17199999999999999</v>
      </c>
      <c r="R170">
        <v>0.11700000000000001</v>
      </c>
      <c r="S170">
        <v>-3.3000000000000002E-2</v>
      </c>
      <c r="T170">
        <v>-6.0000000000000001E-3</v>
      </c>
      <c r="U170">
        <v>-6.7000000000000004E-2</v>
      </c>
      <c r="V170">
        <v>-0.28299999999999997</v>
      </c>
      <c r="W170">
        <v>0.17199999999999999</v>
      </c>
      <c r="X170">
        <v>-3.3000000000000002E-2</v>
      </c>
      <c r="Y170">
        <v>0.20599999999999999</v>
      </c>
      <c r="Z170">
        <v>2.11</v>
      </c>
      <c r="AA170">
        <v>1.74</v>
      </c>
      <c r="AB170" t="s">
        <v>384</v>
      </c>
      <c r="AC170" t="s">
        <v>47</v>
      </c>
    </row>
    <row r="171" spans="1:29" x14ac:dyDescent="0.25">
      <c r="A171" t="s">
        <v>385</v>
      </c>
      <c r="B171" t="s">
        <v>143</v>
      </c>
      <c r="C171" s="1">
        <v>46007</v>
      </c>
      <c r="D171" s="2">
        <v>46007</v>
      </c>
      <c r="E171" t="s">
        <v>31</v>
      </c>
      <c r="G171" t="s">
        <v>32</v>
      </c>
      <c r="H171">
        <v>14.93</v>
      </c>
      <c r="I171">
        <v>-0.01</v>
      </c>
      <c r="O171">
        <v>132820000</v>
      </c>
      <c r="P171">
        <v>0.66</v>
      </c>
      <c r="Q171">
        <v>-0.151</v>
      </c>
      <c r="R171">
        <v>-0.104</v>
      </c>
      <c r="S171">
        <v>-0.13</v>
      </c>
      <c r="T171">
        <v>-0.128</v>
      </c>
      <c r="U171">
        <v>-0.16300000000000001</v>
      </c>
      <c r="V171">
        <v>-0.33900000000000002</v>
      </c>
      <c r="W171">
        <v>-0.104</v>
      </c>
      <c r="X171">
        <v>-0.151</v>
      </c>
      <c r="Y171">
        <v>4.7E-2</v>
      </c>
      <c r="Z171">
        <v>13.38</v>
      </c>
      <c r="AA171">
        <v>12.67</v>
      </c>
      <c r="AB171" t="s">
        <v>386</v>
      </c>
      <c r="AC171" t="s">
        <v>42</v>
      </c>
    </row>
    <row r="172" spans="1:29" x14ac:dyDescent="0.25">
      <c r="A172" t="s">
        <v>387</v>
      </c>
      <c r="B172" t="s">
        <v>143</v>
      </c>
      <c r="C172" s="1">
        <v>46008</v>
      </c>
      <c r="D172" s="2">
        <v>46008</v>
      </c>
      <c r="E172" t="s">
        <v>31</v>
      </c>
      <c r="G172" t="s">
        <v>32</v>
      </c>
      <c r="H172">
        <v>45.44</v>
      </c>
      <c r="I172">
        <v>2.59</v>
      </c>
      <c r="J172">
        <v>1.0900000000000001</v>
      </c>
      <c r="K172">
        <v>0.88</v>
      </c>
      <c r="L172">
        <v>-18.96</v>
      </c>
      <c r="M172">
        <v>18.66</v>
      </c>
      <c r="N172">
        <v>10.84</v>
      </c>
      <c r="O172">
        <v>2950000000</v>
      </c>
      <c r="P172">
        <v>0.71</v>
      </c>
      <c r="Q172">
        <v>-0.05</v>
      </c>
      <c r="R172">
        <v>-7.6999999999999999E-2</v>
      </c>
      <c r="S172">
        <v>-7.8E-2</v>
      </c>
      <c r="T172">
        <v>-6.2E-2</v>
      </c>
      <c r="U172">
        <v>-6.7000000000000004E-2</v>
      </c>
      <c r="V172">
        <v>-0.02</v>
      </c>
      <c r="W172">
        <v>-0.05</v>
      </c>
      <c r="X172">
        <v>-8.6999999999999994E-2</v>
      </c>
      <c r="Y172">
        <v>3.7999999999999999E-2</v>
      </c>
      <c r="Z172">
        <v>43.19</v>
      </c>
      <c r="AA172">
        <v>41.48</v>
      </c>
      <c r="AB172" t="s">
        <v>388</v>
      </c>
      <c r="AC172" t="s">
        <v>38</v>
      </c>
    </row>
    <row r="173" spans="1:29" x14ac:dyDescent="0.25">
      <c r="A173" t="s">
        <v>389</v>
      </c>
      <c r="B173" t="s">
        <v>88</v>
      </c>
      <c r="C173" s="1">
        <v>46008</v>
      </c>
      <c r="D173" s="2">
        <v>46008</v>
      </c>
      <c r="E173" t="s">
        <v>31</v>
      </c>
      <c r="G173" t="s">
        <v>32</v>
      </c>
      <c r="H173">
        <v>212.56</v>
      </c>
      <c r="I173">
        <v>6.43</v>
      </c>
      <c r="J173">
        <v>2.73</v>
      </c>
      <c r="K173">
        <v>2.85</v>
      </c>
      <c r="L173">
        <v>4.3600000000000003</v>
      </c>
      <c r="M173">
        <v>35.24</v>
      </c>
      <c r="N173">
        <v>16.89</v>
      </c>
      <c r="O173">
        <v>24210000000</v>
      </c>
      <c r="P173">
        <v>1.25</v>
      </c>
      <c r="Q173">
        <v>2.1000000000000001E-2</v>
      </c>
      <c r="R173">
        <v>8.1000000000000003E-2</v>
      </c>
      <c r="S173">
        <v>0.10299999999999999</v>
      </c>
      <c r="T173">
        <v>0.105</v>
      </c>
      <c r="U173">
        <v>0.13100000000000001</v>
      </c>
      <c r="V173">
        <v>0.19800000000000001</v>
      </c>
      <c r="W173">
        <v>0.111</v>
      </c>
      <c r="X173">
        <v>2.1000000000000001E-2</v>
      </c>
      <c r="Y173">
        <v>0.09</v>
      </c>
      <c r="Z173">
        <v>236.11</v>
      </c>
      <c r="AA173">
        <v>217.04</v>
      </c>
      <c r="AB173" t="s">
        <v>390</v>
      </c>
      <c r="AC173" t="s">
        <v>42</v>
      </c>
    </row>
    <row r="174" spans="1:29" x14ac:dyDescent="0.25">
      <c r="A174" t="s">
        <v>391</v>
      </c>
      <c r="B174" t="s">
        <v>36</v>
      </c>
      <c r="C174" s="1">
        <v>46008</v>
      </c>
      <c r="D174" s="2">
        <v>46008</v>
      </c>
      <c r="E174" t="s">
        <v>31</v>
      </c>
      <c r="G174" t="s">
        <v>40</v>
      </c>
      <c r="H174">
        <v>17.53</v>
      </c>
      <c r="I174">
        <v>-0.39</v>
      </c>
      <c r="J174">
        <v>0.41</v>
      </c>
      <c r="K174">
        <v>0.43</v>
      </c>
      <c r="L174">
        <v>5.74</v>
      </c>
      <c r="N174">
        <v>8.1199999999999992</v>
      </c>
      <c r="O174">
        <v>1240000000</v>
      </c>
      <c r="P174">
        <v>1.29</v>
      </c>
      <c r="Q174">
        <v>7.9000000000000001E-2</v>
      </c>
      <c r="R174">
        <v>4.1000000000000002E-2</v>
      </c>
      <c r="S174">
        <v>3.3000000000000002E-2</v>
      </c>
      <c r="T174">
        <v>0.05</v>
      </c>
      <c r="U174">
        <v>4.2000000000000003E-2</v>
      </c>
      <c r="V174">
        <v>0.24199999999999999</v>
      </c>
      <c r="W174">
        <v>7.9000000000000001E-2</v>
      </c>
      <c r="X174">
        <v>0.03</v>
      </c>
      <c r="Y174">
        <v>0.05</v>
      </c>
      <c r="Z174">
        <v>18.920000000000002</v>
      </c>
      <c r="AA174">
        <v>18.05</v>
      </c>
      <c r="AB174" t="s">
        <v>392</v>
      </c>
      <c r="AC174" t="s">
        <v>64</v>
      </c>
    </row>
    <row r="175" spans="1:29" x14ac:dyDescent="0.25">
      <c r="A175" t="s">
        <v>393</v>
      </c>
      <c r="B175" t="s">
        <v>143</v>
      </c>
      <c r="C175" s="1">
        <v>46009</v>
      </c>
      <c r="D175" s="2">
        <v>46009</v>
      </c>
      <c r="E175" t="s">
        <v>31</v>
      </c>
      <c r="G175" t="s">
        <v>32</v>
      </c>
      <c r="H175">
        <v>8.3800000000000008</v>
      </c>
      <c r="I175">
        <v>-0.19</v>
      </c>
      <c r="O175">
        <v>44080000</v>
      </c>
      <c r="P175">
        <v>0.6</v>
      </c>
      <c r="Q175">
        <v>-0.40699999999999997</v>
      </c>
      <c r="R175">
        <v>-0.47</v>
      </c>
      <c r="S175">
        <v>-0.47299999999999998</v>
      </c>
      <c r="T175">
        <v>-0.45800000000000002</v>
      </c>
      <c r="U175">
        <v>-0.46899999999999997</v>
      </c>
      <c r="V175">
        <v>-0.28599999999999998</v>
      </c>
      <c r="W175">
        <v>-0.40699999999999997</v>
      </c>
      <c r="X175">
        <v>-0.48599999999999999</v>
      </c>
      <c r="Y175">
        <v>7.9000000000000001E-2</v>
      </c>
      <c r="Z175">
        <v>4.97</v>
      </c>
      <c r="AA175">
        <v>4.3099999999999996</v>
      </c>
      <c r="AB175" t="s">
        <v>394</v>
      </c>
      <c r="AC175" t="s">
        <v>42</v>
      </c>
    </row>
    <row r="176" spans="1:29" x14ac:dyDescent="0.25">
      <c r="A176" t="s">
        <v>395</v>
      </c>
      <c r="B176" t="s">
        <v>143</v>
      </c>
      <c r="C176" s="1">
        <v>46009</v>
      </c>
      <c r="D176" s="2">
        <v>46009</v>
      </c>
      <c r="E176" t="s">
        <v>31</v>
      </c>
      <c r="G176" t="s">
        <v>40</v>
      </c>
      <c r="H176">
        <v>62.49</v>
      </c>
      <c r="I176">
        <v>6.16</v>
      </c>
      <c r="J176">
        <v>1.79</v>
      </c>
      <c r="K176">
        <v>1.92</v>
      </c>
      <c r="L176">
        <v>7.36</v>
      </c>
      <c r="M176">
        <v>10.19</v>
      </c>
      <c r="N176">
        <v>9.93</v>
      </c>
      <c r="O176">
        <v>4060000000</v>
      </c>
      <c r="P176">
        <v>1.42</v>
      </c>
      <c r="Q176">
        <v>-8.5000000000000006E-2</v>
      </c>
      <c r="R176">
        <v>-9.4E-2</v>
      </c>
      <c r="S176">
        <v>-8.6999999999999994E-2</v>
      </c>
      <c r="T176">
        <v>-9.1999999999999998E-2</v>
      </c>
      <c r="U176">
        <v>-7.4999999999999997E-2</v>
      </c>
      <c r="V176">
        <v>6.2E-2</v>
      </c>
      <c r="W176">
        <v>-8.5000000000000006E-2</v>
      </c>
      <c r="X176">
        <v>-0.1</v>
      </c>
      <c r="Y176">
        <v>1.4999999999999999E-2</v>
      </c>
      <c r="Z176">
        <v>57.19</v>
      </c>
      <c r="AA176">
        <v>56.22</v>
      </c>
      <c r="AB176" t="s">
        <v>396</v>
      </c>
      <c r="AC176" t="s">
        <v>64</v>
      </c>
    </row>
    <row r="177" spans="1:29" x14ac:dyDescent="0.25">
      <c r="A177" t="s">
        <v>397</v>
      </c>
      <c r="B177" t="s">
        <v>143</v>
      </c>
      <c r="C177" s="1">
        <v>46009</v>
      </c>
      <c r="D177" s="2">
        <v>46009</v>
      </c>
      <c r="E177" t="s">
        <v>31</v>
      </c>
      <c r="G177" t="s">
        <v>32</v>
      </c>
      <c r="H177">
        <v>10.99</v>
      </c>
      <c r="I177">
        <v>0.87</v>
      </c>
      <c r="J177">
        <v>0.13</v>
      </c>
      <c r="K177">
        <v>0.44</v>
      </c>
      <c r="L177">
        <v>236.23</v>
      </c>
      <c r="M177">
        <v>19.059999999999999</v>
      </c>
      <c r="N177">
        <v>24.79</v>
      </c>
      <c r="O177">
        <v>292940000</v>
      </c>
      <c r="P177">
        <v>0.67</v>
      </c>
      <c r="Q177">
        <v>0.51100000000000001</v>
      </c>
      <c r="R177">
        <v>0.72199999999999998</v>
      </c>
      <c r="S177">
        <v>0.76500000000000001</v>
      </c>
      <c r="T177">
        <v>0.79100000000000004</v>
      </c>
      <c r="U177">
        <v>0.75</v>
      </c>
      <c r="V177">
        <v>0.80400000000000005</v>
      </c>
      <c r="W177">
        <v>0.79100000000000004</v>
      </c>
      <c r="X177">
        <v>0.51100000000000001</v>
      </c>
      <c r="Y177">
        <v>0.27900000000000003</v>
      </c>
      <c r="Z177">
        <v>19.68</v>
      </c>
      <c r="AA177">
        <v>16.61</v>
      </c>
      <c r="AB177" t="s">
        <v>398</v>
      </c>
      <c r="AC177" t="s">
        <v>38</v>
      </c>
    </row>
    <row r="178" spans="1:29" x14ac:dyDescent="0.25">
      <c r="A178" t="s">
        <v>399</v>
      </c>
      <c r="B178" t="s">
        <v>321</v>
      </c>
      <c r="C178" s="1">
        <v>46013</v>
      </c>
      <c r="D178" s="2">
        <v>46009</v>
      </c>
      <c r="E178" t="s">
        <v>223</v>
      </c>
      <c r="G178" t="s">
        <v>32</v>
      </c>
      <c r="H178">
        <v>17.82</v>
      </c>
      <c r="I178">
        <v>1.66</v>
      </c>
      <c r="M178">
        <v>10.92</v>
      </c>
      <c r="N178">
        <v>11.3</v>
      </c>
      <c r="O178">
        <v>463390000</v>
      </c>
      <c r="P178">
        <v>0.36</v>
      </c>
      <c r="Q178">
        <v>1E-3</v>
      </c>
      <c r="R178">
        <v>1.2E-2</v>
      </c>
      <c r="S178">
        <v>1.4E-2</v>
      </c>
      <c r="T178">
        <v>-4.0000000000000001E-3</v>
      </c>
      <c r="U178">
        <v>1E-3</v>
      </c>
      <c r="V178">
        <v>0.16500000000000001</v>
      </c>
      <c r="W178">
        <v>0.02</v>
      </c>
      <c r="X178">
        <v>-4.0000000000000001E-3</v>
      </c>
      <c r="Y178">
        <v>2.4E-2</v>
      </c>
      <c r="Z178">
        <v>18.190000000000001</v>
      </c>
      <c r="AA178">
        <v>17.75</v>
      </c>
      <c r="AB178" t="s">
        <v>400</v>
      </c>
      <c r="AC178" t="s">
        <v>38</v>
      </c>
    </row>
    <row r="179" spans="1:29" x14ac:dyDescent="0.25">
      <c r="A179" t="s">
        <v>401</v>
      </c>
      <c r="B179" t="s">
        <v>36</v>
      </c>
      <c r="C179" s="1">
        <v>46028.666666666664</v>
      </c>
      <c r="D179" s="2">
        <v>46028</v>
      </c>
      <c r="E179" t="s">
        <v>31</v>
      </c>
      <c r="G179" t="s">
        <v>40</v>
      </c>
      <c r="H179">
        <v>89.46</v>
      </c>
      <c r="I179">
        <v>0.79</v>
      </c>
      <c r="J179">
        <v>1.03</v>
      </c>
      <c r="K179">
        <v>1.18</v>
      </c>
      <c r="L179">
        <v>14.19</v>
      </c>
      <c r="M179">
        <v>111.05</v>
      </c>
      <c r="N179">
        <v>16.739999999999998</v>
      </c>
      <c r="O179">
        <v>3480000000</v>
      </c>
      <c r="P179">
        <v>1.23</v>
      </c>
      <c r="Q179">
        <v>2.1000000000000001E-2</v>
      </c>
      <c r="R179">
        <v>8.5000000000000006E-2</v>
      </c>
      <c r="S179">
        <v>9.1999999999999998E-2</v>
      </c>
      <c r="T179">
        <v>0.182</v>
      </c>
      <c r="U179">
        <v>0.19700000000000001</v>
      </c>
      <c r="V179">
        <v>0.26300000000000001</v>
      </c>
      <c r="W179">
        <v>0.182</v>
      </c>
      <c r="X179">
        <v>2.1000000000000001E-2</v>
      </c>
      <c r="Y179">
        <v>0.161</v>
      </c>
      <c r="Z179">
        <v>105.74</v>
      </c>
      <c r="AA179">
        <v>91.34</v>
      </c>
      <c r="AB179" t="s">
        <v>402</v>
      </c>
      <c r="AC179" t="s">
        <v>38</v>
      </c>
    </row>
    <row r="180" spans="1:29" x14ac:dyDescent="0.25">
      <c r="A180" t="s">
        <v>403</v>
      </c>
      <c r="B180" t="s">
        <v>36</v>
      </c>
      <c r="C180" s="1">
        <v>46029.666666666664</v>
      </c>
      <c r="D180" s="2">
        <v>46029</v>
      </c>
      <c r="E180" t="s">
        <v>31</v>
      </c>
      <c r="G180" t="s">
        <v>40</v>
      </c>
      <c r="H180">
        <v>11.62</v>
      </c>
      <c r="I180">
        <v>0.02</v>
      </c>
      <c r="J180">
        <v>-0.02</v>
      </c>
      <c r="K180">
        <v>-0.01</v>
      </c>
      <c r="L180">
        <v>50</v>
      </c>
      <c r="M180">
        <v>534.26</v>
      </c>
      <c r="N180">
        <v>20.98</v>
      </c>
      <c r="O180">
        <v>164880000</v>
      </c>
      <c r="P180">
        <v>1.08</v>
      </c>
      <c r="Q180">
        <v>-0.11700000000000001</v>
      </c>
      <c r="R180">
        <v>-9.6000000000000002E-2</v>
      </c>
      <c r="S180">
        <v>-8.1000000000000003E-2</v>
      </c>
      <c r="T180">
        <v>-7.5999999999999998E-2</v>
      </c>
      <c r="U180">
        <v>-5.3999999999999999E-2</v>
      </c>
      <c r="V180">
        <v>0.188</v>
      </c>
      <c r="W180">
        <v>-7.2999999999999995E-2</v>
      </c>
      <c r="X180">
        <v>-0.11700000000000001</v>
      </c>
      <c r="Y180">
        <v>4.4999999999999998E-2</v>
      </c>
      <c r="Z180">
        <v>10.77</v>
      </c>
      <c r="AA180">
        <v>10.25</v>
      </c>
      <c r="AB180" t="s">
        <v>404</v>
      </c>
      <c r="AC180" t="s">
        <v>42</v>
      </c>
    </row>
    <row r="181" spans="1:29" x14ac:dyDescent="0.25">
      <c r="A181" t="s">
        <v>405</v>
      </c>
      <c r="B181" t="s">
        <v>143</v>
      </c>
      <c r="C181" s="1">
        <v>46030</v>
      </c>
      <c r="D181" s="2">
        <v>46030</v>
      </c>
      <c r="E181" t="s">
        <v>31</v>
      </c>
      <c r="G181" t="s">
        <v>40</v>
      </c>
      <c r="H181">
        <v>6.57</v>
      </c>
      <c r="I181">
        <v>0.26</v>
      </c>
      <c r="M181">
        <v>25.09</v>
      </c>
      <c r="O181">
        <v>59430000</v>
      </c>
      <c r="P181">
        <v>0.31</v>
      </c>
      <c r="Q181">
        <v>-1.0999999999999999E-2</v>
      </c>
      <c r="R181">
        <v>1.2E-2</v>
      </c>
      <c r="S181">
        <v>1.0999999999999999E-2</v>
      </c>
      <c r="T181">
        <v>-8.0000000000000002E-3</v>
      </c>
      <c r="U181">
        <v>-4.7E-2</v>
      </c>
      <c r="V181">
        <v>5.0000000000000001E-3</v>
      </c>
      <c r="W181">
        <v>1.4999999999999999E-2</v>
      </c>
      <c r="X181">
        <v>-3.2000000000000001E-2</v>
      </c>
      <c r="Y181">
        <v>4.7E-2</v>
      </c>
      <c r="Z181">
        <v>6.67</v>
      </c>
      <c r="AA181">
        <v>6.36</v>
      </c>
      <c r="AB181" t="s">
        <v>406</v>
      </c>
      <c r="AC181" t="s">
        <v>47</v>
      </c>
    </row>
    <row r="182" spans="1:29" x14ac:dyDescent="0.25">
      <c r="A182" t="s">
        <v>407</v>
      </c>
      <c r="B182" t="s">
        <v>88</v>
      </c>
      <c r="C182" s="1">
        <v>46030.354166666664</v>
      </c>
      <c r="D182" s="2">
        <v>46030</v>
      </c>
      <c r="E182" t="s">
        <v>31</v>
      </c>
      <c r="G182" t="s">
        <v>32</v>
      </c>
      <c r="H182">
        <v>8.73</v>
      </c>
      <c r="I182">
        <v>0</v>
      </c>
      <c r="J182">
        <v>0.05</v>
      </c>
      <c r="K182">
        <v>0.04</v>
      </c>
      <c r="L182">
        <v>-20</v>
      </c>
      <c r="O182">
        <v>82860000</v>
      </c>
      <c r="P182">
        <v>0.21</v>
      </c>
      <c r="Q182">
        <v>1E-3</v>
      </c>
      <c r="R182">
        <v>2.5000000000000001E-2</v>
      </c>
      <c r="S182">
        <v>9.5000000000000001E-2</v>
      </c>
      <c r="T182">
        <v>3.6999999999999998E-2</v>
      </c>
      <c r="U182">
        <v>9.6000000000000002E-2</v>
      </c>
      <c r="V182">
        <v>3.4000000000000002E-2</v>
      </c>
      <c r="W182">
        <v>9.5000000000000001E-2</v>
      </c>
      <c r="X182">
        <v>1E-3</v>
      </c>
      <c r="Y182">
        <v>9.4E-2</v>
      </c>
      <c r="Z182">
        <v>9.56</v>
      </c>
      <c r="AA182">
        <v>8.74</v>
      </c>
      <c r="AB182" t="s">
        <v>408</v>
      </c>
      <c r="AC182" t="s">
        <v>158</v>
      </c>
    </row>
    <row r="183" spans="1:29" x14ac:dyDescent="0.25">
      <c r="A183" t="s">
        <v>409</v>
      </c>
      <c r="B183" t="s">
        <v>143</v>
      </c>
      <c r="C183" s="1">
        <v>46030.354166666664</v>
      </c>
      <c r="D183" s="2">
        <v>46030</v>
      </c>
      <c r="E183" t="s">
        <v>31</v>
      </c>
      <c r="G183" t="s">
        <v>32</v>
      </c>
      <c r="H183">
        <v>150.52000000000001</v>
      </c>
      <c r="I183">
        <v>9.2200000000000006</v>
      </c>
      <c r="J183">
        <v>2.86</v>
      </c>
      <c r="K183">
        <v>3.04</v>
      </c>
      <c r="L183">
        <v>6.3</v>
      </c>
      <c r="M183">
        <v>16.62</v>
      </c>
      <c r="N183">
        <v>10.52</v>
      </c>
      <c r="O183">
        <v>12470000000</v>
      </c>
      <c r="P183">
        <v>1.38</v>
      </c>
      <c r="Q183">
        <v>-4.0000000000000001E-3</v>
      </c>
      <c r="R183">
        <v>3.3000000000000002E-2</v>
      </c>
      <c r="S183">
        <v>-4.0000000000000001E-3</v>
      </c>
      <c r="T183">
        <v>-2.8000000000000001E-2</v>
      </c>
      <c r="U183">
        <v>1.7999999999999999E-2</v>
      </c>
      <c r="V183">
        <v>7.2999999999999995E-2</v>
      </c>
      <c r="W183">
        <v>3.3000000000000002E-2</v>
      </c>
      <c r="X183">
        <v>-2.8000000000000001E-2</v>
      </c>
      <c r="Y183">
        <v>6.0999999999999999E-2</v>
      </c>
      <c r="Z183">
        <v>155.51</v>
      </c>
      <c r="AA183">
        <v>146.29</v>
      </c>
      <c r="AB183" t="s">
        <v>410</v>
      </c>
      <c r="AC183" t="s">
        <v>42</v>
      </c>
    </row>
    <row r="184" spans="1:29" x14ac:dyDescent="0.25">
      <c r="A184" t="s">
        <v>411</v>
      </c>
      <c r="B184" t="s">
        <v>321</v>
      </c>
      <c r="C184" s="1">
        <v>46034.354166666664</v>
      </c>
      <c r="D184" s="2">
        <v>46034</v>
      </c>
      <c r="E184" t="s">
        <v>31</v>
      </c>
      <c r="F184" s="2">
        <v>46034</v>
      </c>
      <c r="G184" t="s">
        <v>32</v>
      </c>
      <c r="H184">
        <v>14.99</v>
      </c>
      <c r="N184">
        <v>307.61</v>
      </c>
      <c r="O184">
        <v>1080000000</v>
      </c>
      <c r="P184">
        <v>1.18</v>
      </c>
      <c r="Q184">
        <v>-0.13700000000000001</v>
      </c>
      <c r="R184">
        <v>-1.6E-2</v>
      </c>
      <c r="S184">
        <v>-4.4999999999999998E-2</v>
      </c>
      <c r="T184">
        <v>3.5000000000000003E-2</v>
      </c>
      <c r="U184">
        <v>-1.4999999999999999E-2</v>
      </c>
      <c r="V184">
        <v>4.0000000000000001E-3</v>
      </c>
      <c r="W184">
        <v>3.5000000000000003E-2</v>
      </c>
      <c r="X184">
        <v>-0.13700000000000001</v>
      </c>
      <c r="Y184">
        <v>0.17199999999999999</v>
      </c>
      <c r="Z184">
        <v>15.52</v>
      </c>
      <c r="AA184">
        <v>12.94</v>
      </c>
      <c r="AB184" t="s">
        <v>412</v>
      </c>
      <c r="AC184" t="s">
        <v>129</v>
      </c>
    </row>
    <row r="185" spans="1:29" x14ac:dyDescent="0.25">
      <c r="A185" t="s">
        <v>413</v>
      </c>
      <c r="B185" t="s">
        <v>36</v>
      </c>
      <c r="C185" s="1">
        <v>46036.354166666664</v>
      </c>
      <c r="D185" s="2">
        <v>46036</v>
      </c>
      <c r="E185" t="s">
        <v>31</v>
      </c>
      <c r="F185" s="2">
        <v>46036</v>
      </c>
      <c r="G185" t="s">
        <v>32</v>
      </c>
      <c r="H185">
        <v>1.99</v>
      </c>
      <c r="I185">
        <v>-0.62</v>
      </c>
      <c r="J185">
        <v>-0.15</v>
      </c>
      <c r="K185">
        <v>-0.21</v>
      </c>
      <c r="L185">
        <v>-40</v>
      </c>
      <c r="O185">
        <v>90620000</v>
      </c>
      <c r="P185">
        <v>3</v>
      </c>
      <c r="Q185">
        <v>0.16600000000000001</v>
      </c>
      <c r="R185">
        <v>0.106</v>
      </c>
      <c r="S185">
        <v>0.22600000000000001</v>
      </c>
      <c r="T185">
        <v>8.5000000000000006E-2</v>
      </c>
      <c r="U185">
        <v>3.5000000000000003E-2</v>
      </c>
      <c r="V185">
        <v>-0.11600000000000001</v>
      </c>
      <c r="W185">
        <v>0.22600000000000001</v>
      </c>
      <c r="X185">
        <v>0.08</v>
      </c>
      <c r="Y185">
        <v>0.14599999999999999</v>
      </c>
      <c r="Z185">
        <v>2.44</v>
      </c>
      <c r="AA185">
        <v>2.15</v>
      </c>
      <c r="AB185" t="s">
        <v>414</v>
      </c>
      <c r="AC185" t="s">
        <v>38</v>
      </c>
    </row>
    <row r="186" spans="1:29" x14ac:dyDescent="0.25">
      <c r="A186" t="s">
        <v>415</v>
      </c>
      <c r="B186" t="s">
        <v>30</v>
      </c>
      <c r="C186" s="1">
        <v>46036.666666666664</v>
      </c>
      <c r="D186" s="2">
        <v>46036</v>
      </c>
      <c r="E186" t="s">
        <v>31</v>
      </c>
      <c r="F186" s="2">
        <v>46036</v>
      </c>
      <c r="G186" t="s">
        <v>40</v>
      </c>
      <c r="H186">
        <v>7.54</v>
      </c>
      <c r="I186">
        <v>-7.44</v>
      </c>
      <c r="O186">
        <v>230700000</v>
      </c>
      <c r="P186">
        <v>1.28</v>
      </c>
      <c r="Q186">
        <v>0.26</v>
      </c>
      <c r="R186">
        <v>0.188</v>
      </c>
      <c r="S186">
        <v>0.32500000000000001</v>
      </c>
      <c r="T186">
        <v>0.22500000000000001</v>
      </c>
      <c r="U186">
        <v>0.22</v>
      </c>
      <c r="V186">
        <v>-9.5000000000000001E-2</v>
      </c>
      <c r="W186">
        <v>0.32500000000000001</v>
      </c>
      <c r="X186">
        <v>0.17899999999999999</v>
      </c>
      <c r="Y186">
        <v>0.14599999999999999</v>
      </c>
      <c r="Z186">
        <v>9.99</v>
      </c>
      <c r="AA186">
        <v>8.89</v>
      </c>
      <c r="AB186" t="s">
        <v>416</v>
      </c>
      <c r="AC186" t="s">
        <v>94</v>
      </c>
    </row>
    <row r="187" spans="1:29" x14ac:dyDescent="0.25">
      <c r="A187" t="s">
        <v>417</v>
      </c>
      <c r="B187" t="s">
        <v>143</v>
      </c>
      <c r="C187" s="1">
        <v>46037.354166666664</v>
      </c>
      <c r="D187" s="2">
        <v>46037</v>
      </c>
      <c r="E187" t="s">
        <v>31</v>
      </c>
      <c r="G187" t="s">
        <v>32</v>
      </c>
      <c r="H187">
        <v>1091.8499999999999</v>
      </c>
      <c r="I187">
        <v>38.479999999999997</v>
      </c>
      <c r="J187">
        <v>12.19</v>
      </c>
      <c r="K187">
        <v>13.16</v>
      </c>
      <c r="L187">
        <v>7.94</v>
      </c>
      <c r="M187">
        <v>28.31</v>
      </c>
      <c r="N187">
        <v>20.260000000000002</v>
      </c>
      <c r="O187">
        <v>178000000000</v>
      </c>
      <c r="P187">
        <v>1.48</v>
      </c>
      <c r="Q187">
        <v>6.5000000000000002E-2</v>
      </c>
      <c r="R187">
        <v>3.3000000000000002E-2</v>
      </c>
      <c r="S187">
        <v>3.5000000000000003E-2</v>
      </c>
      <c r="T187">
        <v>1.4E-2</v>
      </c>
      <c r="U187">
        <v>2.5000000000000001E-2</v>
      </c>
      <c r="V187">
        <v>-1.9E-2</v>
      </c>
      <c r="W187">
        <v>6.5000000000000002E-2</v>
      </c>
      <c r="X187">
        <v>1.4E-2</v>
      </c>
      <c r="Y187">
        <v>5.1999999999999998E-2</v>
      </c>
      <c r="Z187">
        <v>1163.17</v>
      </c>
      <c r="AA187">
        <v>1106.69</v>
      </c>
      <c r="AB187" t="s">
        <v>418</v>
      </c>
      <c r="AC187" t="s">
        <v>94</v>
      </c>
    </row>
    <row r="188" spans="1:29" x14ac:dyDescent="0.25">
      <c r="A188" t="s">
        <v>419</v>
      </c>
      <c r="B188" t="s">
        <v>143</v>
      </c>
      <c r="C188" s="1">
        <v>46042.666666666664</v>
      </c>
      <c r="D188" s="2">
        <v>46042</v>
      </c>
      <c r="E188" t="s">
        <v>31</v>
      </c>
      <c r="G188" t="s">
        <v>40</v>
      </c>
      <c r="H188">
        <v>71.510000000000005</v>
      </c>
      <c r="I188">
        <v>2.08</v>
      </c>
      <c r="J188">
        <v>0.59</v>
      </c>
      <c r="K188">
        <v>0.65</v>
      </c>
      <c r="L188">
        <v>11.05</v>
      </c>
      <c r="M188">
        <v>35.340000000000003</v>
      </c>
      <c r="N188">
        <v>30.97</v>
      </c>
      <c r="O188">
        <v>32670000000</v>
      </c>
      <c r="P188">
        <v>1.24</v>
      </c>
      <c r="Q188">
        <v>0.06</v>
      </c>
      <c r="R188">
        <v>8.5000000000000006E-2</v>
      </c>
      <c r="S188">
        <v>5.6000000000000001E-2</v>
      </c>
      <c r="T188">
        <v>5.8000000000000003E-2</v>
      </c>
      <c r="U188">
        <v>4.8000000000000001E-2</v>
      </c>
      <c r="V188">
        <v>4.4999999999999998E-2</v>
      </c>
      <c r="W188">
        <v>8.5000000000000006E-2</v>
      </c>
      <c r="X188">
        <v>5.3999999999999999E-2</v>
      </c>
      <c r="Y188">
        <v>3.1E-2</v>
      </c>
      <c r="Z188">
        <v>77.58</v>
      </c>
      <c r="AA188">
        <v>75.349999999999994</v>
      </c>
      <c r="AB188" t="s">
        <v>420</v>
      </c>
      <c r="AC188" t="s">
        <v>94</v>
      </c>
    </row>
    <row r="189" spans="1:29" x14ac:dyDescent="0.25">
      <c r="A189" t="s">
        <v>421</v>
      </c>
      <c r="B189" t="s">
        <v>88</v>
      </c>
      <c r="C189" s="1">
        <v>46043.5625</v>
      </c>
      <c r="D189" s="2">
        <v>46043</v>
      </c>
      <c r="E189" t="s">
        <v>31</v>
      </c>
      <c r="F189" s="2">
        <v>46043</v>
      </c>
      <c r="G189" t="s">
        <v>32</v>
      </c>
      <c r="H189">
        <v>233.27</v>
      </c>
      <c r="I189">
        <v>6.16</v>
      </c>
      <c r="J189">
        <v>2.5499999999999998</v>
      </c>
      <c r="K189">
        <v>2.72</v>
      </c>
      <c r="L189">
        <v>6.47</v>
      </c>
      <c r="M189">
        <v>37.17</v>
      </c>
      <c r="N189">
        <v>18.899999999999999</v>
      </c>
      <c r="O189">
        <v>67240000000</v>
      </c>
      <c r="P189">
        <v>1.24</v>
      </c>
      <c r="Q189">
        <v>-8.0000000000000002E-3</v>
      </c>
      <c r="R189">
        <v>-3.3000000000000002E-2</v>
      </c>
      <c r="S189">
        <v>-4.9000000000000002E-2</v>
      </c>
      <c r="T189">
        <v>-4.4999999999999998E-2</v>
      </c>
      <c r="U189">
        <v>-7.4999999999999997E-2</v>
      </c>
      <c r="V189">
        <v>1.2999999999999999E-2</v>
      </c>
      <c r="W189">
        <v>-8.0000000000000002E-3</v>
      </c>
      <c r="X189">
        <v>-4.9000000000000002E-2</v>
      </c>
      <c r="Y189">
        <v>4.1000000000000002E-2</v>
      </c>
      <c r="Z189">
        <v>231.35</v>
      </c>
      <c r="AA189">
        <v>221.77</v>
      </c>
      <c r="AB189" t="s">
        <v>422</v>
      </c>
      <c r="AC189" t="s">
        <v>42</v>
      </c>
    </row>
    <row r="190" spans="1:29" x14ac:dyDescent="0.25">
      <c r="A190" t="s">
        <v>423</v>
      </c>
      <c r="B190" t="s">
        <v>143</v>
      </c>
      <c r="C190" s="1">
        <v>46044.354166666664</v>
      </c>
      <c r="D190" s="2">
        <v>46044</v>
      </c>
      <c r="E190" t="s">
        <v>31</v>
      </c>
      <c r="G190" t="s">
        <v>32</v>
      </c>
      <c r="H190">
        <v>318.5</v>
      </c>
      <c r="I190">
        <v>7.5</v>
      </c>
      <c r="J190">
        <v>1.43</v>
      </c>
      <c r="K190">
        <v>1.57</v>
      </c>
      <c r="L190">
        <v>9.81</v>
      </c>
      <c r="M190">
        <v>43.35</v>
      </c>
      <c r="N190">
        <v>45.55</v>
      </c>
      <c r="O190">
        <v>343000000000</v>
      </c>
      <c r="P190">
        <v>1.41</v>
      </c>
      <c r="Q190">
        <v>-7.6999999999999999E-2</v>
      </c>
      <c r="R190">
        <v>-6.6000000000000003E-2</v>
      </c>
      <c r="S190">
        <v>-6.2E-2</v>
      </c>
      <c r="T190">
        <v>-3.1E-2</v>
      </c>
      <c r="U190">
        <v>-3.7999999999999999E-2</v>
      </c>
      <c r="V190">
        <v>-0.01</v>
      </c>
      <c r="W190">
        <v>-3.1E-2</v>
      </c>
      <c r="X190">
        <v>-8.2000000000000003E-2</v>
      </c>
      <c r="Y190">
        <v>5.0999999999999997E-2</v>
      </c>
      <c r="Z190">
        <v>308.70999999999998</v>
      </c>
      <c r="AA190">
        <v>292.48</v>
      </c>
      <c r="AB190" t="s">
        <v>424</v>
      </c>
      <c r="AC190" t="s">
        <v>38</v>
      </c>
    </row>
    <row r="191" spans="1:29" x14ac:dyDescent="0.25">
      <c r="A191" t="s">
        <v>425</v>
      </c>
      <c r="B191" t="s">
        <v>36</v>
      </c>
      <c r="C191" s="1">
        <v>46044.354166666664</v>
      </c>
      <c r="D191" s="2">
        <v>46044</v>
      </c>
      <c r="E191" t="s">
        <v>31</v>
      </c>
      <c r="G191" t="s">
        <v>32</v>
      </c>
      <c r="H191">
        <v>20.329999999999998</v>
      </c>
      <c r="I191">
        <v>0.8</v>
      </c>
      <c r="J191">
        <v>0.22</v>
      </c>
      <c r="K191">
        <v>0.26</v>
      </c>
      <c r="L191">
        <v>20.93</v>
      </c>
      <c r="M191">
        <v>25.36</v>
      </c>
      <c r="N191">
        <v>14.88</v>
      </c>
      <c r="O191">
        <v>633670000</v>
      </c>
      <c r="P191">
        <v>0.19</v>
      </c>
      <c r="Q191">
        <v>8.5999999999999993E-2</v>
      </c>
      <c r="R191">
        <v>8.5999999999999993E-2</v>
      </c>
      <c r="S191">
        <v>9.4E-2</v>
      </c>
      <c r="T191">
        <v>9.6000000000000002E-2</v>
      </c>
      <c r="U191">
        <v>0.08</v>
      </c>
      <c r="V191">
        <v>0.106</v>
      </c>
      <c r="W191">
        <v>9.6000000000000002E-2</v>
      </c>
      <c r="X191">
        <v>5.6000000000000001E-2</v>
      </c>
      <c r="Y191">
        <v>0.04</v>
      </c>
      <c r="Z191">
        <v>22.29</v>
      </c>
      <c r="AA191">
        <v>21.48</v>
      </c>
      <c r="AB191" t="s">
        <v>426</v>
      </c>
      <c r="AC191" t="s">
        <v>42</v>
      </c>
    </row>
    <row r="192" spans="1:29" x14ac:dyDescent="0.25">
      <c r="A192" t="s">
        <v>427</v>
      </c>
      <c r="B192" t="s">
        <v>143</v>
      </c>
      <c r="C192" s="1">
        <v>46044.666666666664</v>
      </c>
      <c r="D192" s="2">
        <v>46044</v>
      </c>
      <c r="E192" t="s">
        <v>31</v>
      </c>
      <c r="G192" t="s">
        <v>40</v>
      </c>
      <c r="H192">
        <v>54.32</v>
      </c>
      <c r="I192">
        <v>0.01</v>
      </c>
      <c r="J192">
        <v>0.08</v>
      </c>
      <c r="K192">
        <v>0.15</v>
      </c>
      <c r="L192">
        <v>81.510000000000005</v>
      </c>
      <c r="M192">
        <v>5117.92</v>
      </c>
      <c r="N192">
        <v>88.02</v>
      </c>
      <c r="O192">
        <v>270000000000</v>
      </c>
      <c r="P192">
        <v>1.35</v>
      </c>
      <c r="Q192">
        <v>-0.17</v>
      </c>
      <c r="R192">
        <v>-0.191</v>
      </c>
      <c r="S192">
        <v>-0.104</v>
      </c>
      <c r="T192">
        <v>-0.10100000000000001</v>
      </c>
      <c r="U192">
        <v>-0.112</v>
      </c>
      <c r="V192">
        <v>-0.13900000000000001</v>
      </c>
      <c r="W192">
        <v>-0.10100000000000001</v>
      </c>
      <c r="X192">
        <v>-0.218</v>
      </c>
      <c r="Y192">
        <v>0.11600000000000001</v>
      </c>
      <c r="Z192">
        <v>48.81</v>
      </c>
      <c r="AA192">
        <v>42.49</v>
      </c>
      <c r="AB192" t="s">
        <v>428</v>
      </c>
      <c r="AC192" t="s">
        <v>42</v>
      </c>
    </row>
    <row r="193" spans="1:29" x14ac:dyDescent="0.25">
      <c r="A193" t="s">
        <v>429</v>
      </c>
      <c r="B193" t="s">
        <v>88</v>
      </c>
      <c r="C193" s="1">
        <v>46048.666666666664</v>
      </c>
      <c r="D193" s="2">
        <v>46048</v>
      </c>
      <c r="E193" t="s">
        <v>31</v>
      </c>
      <c r="F193" s="2">
        <v>46048</v>
      </c>
      <c r="G193" t="s">
        <v>40</v>
      </c>
      <c r="H193">
        <v>182.54</v>
      </c>
      <c r="I193">
        <v>4.46</v>
      </c>
      <c r="J193">
        <v>2.15</v>
      </c>
      <c r="K193">
        <v>2.38</v>
      </c>
      <c r="L193">
        <v>10.96</v>
      </c>
      <c r="M193">
        <v>39.909999999999997</v>
      </c>
      <c r="N193">
        <v>15.6</v>
      </c>
      <c r="O193">
        <v>9700000000</v>
      </c>
      <c r="P193">
        <v>1.04</v>
      </c>
      <c r="Q193">
        <v>-0.216</v>
      </c>
      <c r="R193">
        <v>-0.154</v>
      </c>
      <c r="S193">
        <v>-0.17599999999999999</v>
      </c>
      <c r="T193">
        <v>-0.20200000000000001</v>
      </c>
      <c r="U193">
        <v>-0.17399999999999999</v>
      </c>
      <c r="V193">
        <v>-0.20100000000000001</v>
      </c>
      <c r="W193">
        <v>-0.153</v>
      </c>
      <c r="X193">
        <v>-0.224</v>
      </c>
      <c r="Y193">
        <v>7.0999999999999994E-2</v>
      </c>
      <c r="Z193">
        <v>154.65</v>
      </c>
      <c r="AA193">
        <v>141.68</v>
      </c>
      <c r="AB193" t="s">
        <v>430</v>
      </c>
      <c r="AC193" t="s">
        <v>42</v>
      </c>
    </row>
    <row r="194" spans="1:29" x14ac:dyDescent="0.25">
      <c r="A194" t="s">
        <v>431</v>
      </c>
      <c r="B194" t="s">
        <v>321</v>
      </c>
      <c r="C194" s="1">
        <v>46049.666666666664</v>
      </c>
      <c r="D194" s="2">
        <v>46049</v>
      </c>
      <c r="E194" t="s">
        <v>31</v>
      </c>
      <c r="G194" t="s">
        <v>40</v>
      </c>
      <c r="H194">
        <v>105.91</v>
      </c>
      <c r="I194">
        <v>3.85</v>
      </c>
      <c r="J194">
        <v>0.94</v>
      </c>
      <c r="K194">
        <v>1.1000000000000001</v>
      </c>
      <c r="L194">
        <v>17.079999999999998</v>
      </c>
      <c r="M194">
        <v>27.87</v>
      </c>
      <c r="N194">
        <v>23.22</v>
      </c>
      <c r="O194">
        <v>15920000000</v>
      </c>
      <c r="P194">
        <v>2.38</v>
      </c>
      <c r="Q194">
        <v>0.13300000000000001</v>
      </c>
      <c r="R194">
        <v>0.106</v>
      </c>
      <c r="S194">
        <v>0.13200000000000001</v>
      </c>
      <c r="T194">
        <v>8.1000000000000003E-2</v>
      </c>
      <c r="U194">
        <v>0.114</v>
      </c>
      <c r="V194">
        <v>9.9000000000000005E-2</v>
      </c>
      <c r="W194">
        <v>0.14299999999999999</v>
      </c>
      <c r="X194">
        <v>8.1000000000000003E-2</v>
      </c>
      <c r="Y194">
        <v>6.3E-2</v>
      </c>
      <c r="Z194">
        <v>121.08</v>
      </c>
      <c r="AA194">
        <v>114.44</v>
      </c>
      <c r="AB194" t="s">
        <v>432</v>
      </c>
      <c r="AC194" t="s">
        <v>42</v>
      </c>
    </row>
    <row r="195" spans="1:29" x14ac:dyDescent="0.25">
      <c r="A195" t="s">
        <v>433</v>
      </c>
      <c r="B195" t="s">
        <v>143</v>
      </c>
      <c r="C195" s="1">
        <v>46050.354166666664</v>
      </c>
      <c r="D195" s="2">
        <v>46050</v>
      </c>
      <c r="E195" t="s">
        <v>31</v>
      </c>
      <c r="G195" t="s">
        <v>32</v>
      </c>
      <c r="H195">
        <v>128.6</v>
      </c>
      <c r="I195">
        <v>17.04</v>
      </c>
      <c r="J195">
        <v>3.88</v>
      </c>
      <c r="K195">
        <v>2.39</v>
      </c>
      <c r="L195">
        <v>-38.450000000000003</v>
      </c>
      <c r="M195">
        <v>7.86</v>
      </c>
      <c r="N195">
        <v>9.16</v>
      </c>
      <c r="O195">
        <v>3500000000</v>
      </c>
      <c r="P195">
        <v>1.78</v>
      </c>
      <c r="Q195">
        <v>0.06</v>
      </c>
      <c r="R195">
        <v>3.9E-2</v>
      </c>
      <c r="S195">
        <v>7.9000000000000001E-2</v>
      </c>
      <c r="T195">
        <v>0.10299999999999999</v>
      </c>
      <c r="U195">
        <v>0.13100000000000001</v>
      </c>
      <c r="V195">
        <v>0.16300000000000001</v>
      </c>
      <c r="W195">
        <v>0.10299999999999999</v>
      </c>
      <c r="X195">
        <v>3.9E-2</v>
      </c>
      <c r="Y195">
        <v>6.4000000000000001E-2</v>
      </c>
      <c r="Z195">
        <v>141.86000000000001</v>
      </c>
      <c r="AA195">
        <v>133.6</v>
      </c>
      <c r="AB195" t="s">
        <v>434</v>
      </c>
      <c r="AC195" t="s">
        <v>64</v>
      </c>
    </row>
    <row r="196" spans="1:29" x14ac:dyDescent="0.25">
      <c r="A196" t="s">
        <v>435</v>
      </c>
      <c r="B196" t="s">
        <v>143</v>
      </c>
      <c r="C196" s="1">
        <v>46050.354166666664</v>
      </c>
      <c r="D196" s="2">
        <v>46050</v>
      </c>
      <c r="E196" t="s">
        <v>31</v>
      </c>
      <c r="F196" s="2">
        <v>46050</v>
      </c>
      <c r="G196" t="s">
        <v>32</v>
      </c>
      <c r="H196">
        <v>90.14</v>
      </c>
      <c r="I196">
        <v>3.39</v>
      </c>
      <c r="J196">
        <v>1.03</v>
      </c>
      <c r="K196">
        <v>1.03</v>
      </c>
      <c r="L196">
        <v>-0.35</v>
      </c>
      <c r="M196">
        <v>26.68</v>
      </c>
      <c r="N196">
        <v>20.239999999999998</v>
      </c>
      <c r="O196">
        <v>35290000000</v>
      </c>
      <c r="P196">
        <v>1.01</v>
      </c>
      <c r="Q196">
        <v>-3.6999999999999998E-2</v>
      </c>
      <c r="R196">
        <v>-4.9000000000000002E-2</v>
      </c>
      <c r="S196">
        <v>-2E-3</v>
      </c>
      <c r="T196">
        <v>-8.0000000000000002E-3</v>
      </c>
      <c r="U196">
        <v>-1.2E-2</v>
      </c>
      <c r="V196">
        <v>-3.0000000000000001E-3</v>
      </c>
      <c r="W196">
        <v>8.0000000000000002E-3</v>
      </c>
      <c r="X196">
        <v>-5.7000000000000002E-2</v>
      </c>
      <c r="Y196">
        <v>6.4000000000000001E-2</v>
      </c>
      <c r="Z196">
        <v>90.82</v>
      </c>
      <c r="AA196">
        <v>85.03</v>
      </c>
      <c r="AB196" t="s">
        <v>436</v>
      </c>
      <c r="AC196" t="s">
        <v>38</v>
      </c>
    </row>
    <row r="197" spans="1:29" x14ac:dyDescent="0.25">
      <c r="A197" t="s">
        <v>437</v>
      </c>
      <c r="B197" t="s">
        <v>143</v>
      </c>
      <c r="C197" s="1">
        <v>46050.354166666664</v>
      </c>
      <c r="D197" s="2">
        <v>46050</v>
      </c>
      <c r="E197" t="s">
        <v>31</v>
      </c>
      <c r="G197" t="s">
        <v>32</v>
      </c>
      <c r="H197">
        <v>166.25</v>
      </c>
      <c r="I197">
        <v>3</v>
      </c>
      <c r="J197">
        <v>0.94</v>
      </c>
      <c r="K197">
        <v>0.97</v>
      </c>
      <c r="L197">
        <v>3.07</v>
      </c>
      <c r="M197">
        <v>55.42</v>
      </c>
      <c r="N197">
        <v>38.97</v>
      </c>
      <c r="O197">
        <v>204000000000</v>
      </c>
      <c r="P197">
        <v>1.22</v>
      </c>
      <c r="Q197">
        <v>-0.1</v>
      </c>
      <c r="R197">
        <v>-0.128</v>
      </c>
      <c r="S197">
        <v>-0.218</v>
      </c>
      <c r="T197">
        <v>-0.18099999999999999</v>
      </c>
      <c r="U197">
        <v>-0.13400000000000001</v>
      </c>
      <c r="V197">
        <v>-0.11700000000000001</v>
      </c>
      <c r="W197">
        <v>-0.1</v>
      </c>
      <c r="X197">
        <v>-0.23200000000000001</v>
      </c>
      <c r="Y197">
        <v>0.13200000000000001</v>
      </c>
      <c r="Z197">
        <v>149.58000000000001</v>
      </c>
      <c r="AA197">
        <v>127.63</v>
      </c>
      <c r="AB197" t="s">
        <v>438</v>
      </c>
      <c r="AC197" t="s">
        <v>42</v>
      </c>
    </row>
    <row r="198" spans="1:29" x14ac:dyDescent="0.25">
      <c r="A198" t="s">
        <v>439</v>
      </c>
      <c r="B198" t="s">
        <v>143</v>
      </c>
      <c r="C198" s="1">
        <v>46050.666666666664</v>
      </c>
      <c r="D198" s="2">
        <v>46050</v>
      </c>
      <c r="E198" t="s">
        <v>31</v>
      </c>
      <c r="G198" t="s">
        <v>40</v>
      </c>
      <c r="H198">
        <v>63.99</v>
      </c>
      <c r="I198">
        <v>6.85</v>
      </c>
      <c r="J198">
        <v>1.29</v>
      </c>
      <c r="K198">
        <v>1.21</v>
      </c>
      <c r="L198">
        <v>-6.52</v>
      </c>
      <c r="M198">
        <v>9.49</v>
      </c>
      <c r="N198">
        <v>10.14</v>
      </c>
      <c r="O198">
        <v>1910000000</v>
      </c>
      <c r="P198">
        <v>1.57</v>
      </c>
      <c r="Q198">
        <v>0</v>
      </c>
      <c r="R198">
        <v>-1.6E-2</v>
      </c>
      <c r="S198">
        <v>7.4999999999999997E-2</v>
      </c>
      <c r="T198">
        <v>9.0999999999999998E-2</v>
      </c>
      <c r="U198">
        <v>0.14699999999999999</v>
      </c>
      <c r="V198">
        <v>0.17</v>
      </c>
      <c r="W198">
        <v>9.0999999999999998E-2</v>
      </c>
      <c r="X198">
        <v>-1.6E-2</v>
      </c>
      <c r="Y198">
        <v>0.107</v>
      </c>
      <c r="Z198">
        <v>69.790000000000006</v>
      </c>
      <c r="AA198">
        <v>62.97</v>
      </c>
      <c r="AB198" t="s">
        <v>440</v>
      </c>
      <c r="AC198" t="s">
        <v>52</v>
      </c>
    </row>
    <row r="199" spans="1:29" x14ac:dyDescent="0.25">
      <c r="A199" t="s">
        <v>441</v>
      </c>
      <c r="B199" t="s">
        <v>143</v>
      </c>
      <c r="C199" s="1">
        <v>46050.666666666664</v>
      </c>
      <c r="D199" s="2">
        <v>46050</v>
      </c>
      <c r="E199" t="s">
        <v>31</v>
      </c>
      <c r="G199" t="s">
        <v>40</v>
      </c>
      <c r="H199">
        <v>69.180000000000007</v>
      </c>
      <c r="I199">
        <v>7.49</v>
      </c>
      <c r="J199">
        <v>1.52</v>
      </c>
      <c r="K199">
        <v>1.2</v>
      </c>
      <c r="L199">
        <v>-21.24</v>
      </c>
      <c r="M199">
        <v>9.57</v>
      </c>
      <c r="N199">
        <v>10.69</v>
      </c>
      <c r="O199">
        <v>5050000000</v>
      </c>
      <c r="P199">
        <v>1.48</v>
      </c>
      <c r="Q199">
        <v>1.0999999999999999E-2</v>
      </c>
      <c r="R199">
        <v>1.4999999999999999E-2</v>
      </c>
      <c r="S199">
        <v>0.09</v>
      </c>
      <c r="T199">
        <v>9.7000000000000003E-2</v>
      </c>
      <c r="U199">
        <v>0.128</v>
      </c>
      <c r="V199">
        <v>0.16500000000000001</v>
      </c>
      <c r="W199">
        <v>9.7000000000000003E-2</v>
      </c>
      <c r="X199">
        <v>5.0000000000000001E-3</v>
      </c>
      <c r="Y199">
        <v>9.2999999999999999E-2</v>
      </c>
      <c r="Z199">
        <v>75.91</v>
      </c>
      <c r="AA199">
        <v>69.510000000000005</v>
      </c>
      <c r="AB199" t="s">
        <v>442</v>
      </c>
      <c r="AC199" t="s">
        <v>64</v>
      </c>
    </row>
    <row r="200" spans="1:29" x14ac:dyDescent="0.25">
      <c r="A200" t="s">
        <v>443</v>
      </c>
      <c r="B200" t="s">
        <v>143</v>
      </c>
      <c r="C200" s="1">
        <v>46051.354166666664</v>
      </c>
      <c r="D200" s="2">
        <v>46051</v>
      </c>
      <c r="E200" t="s">
        <v>31</v>
      </c>
      <c r="G200" t="s">
        <v>32</v>
      </c>
      <c r="H200">
        <v>6.82</v>
      </c>
      <c r="I200">
        <v>0.17</v>
      </c>
      <c r="J200">
        <v>0.17</v>
      </c>
      <c r="K200">
        <v>0.19</v>
      </c>
      <c r="L200">
        <v>15.33</v>
      </c>
      <c r="M200">
        <v>39.49</v>
      </c>
      <c r="N200">
        <v>18.579999999999998</v>
      </c>
      <c r="O200">
        <v>38570000000</v>
      </c>
      <c r="P200">
        <v>0.81</v>
      </c>
      <c r="Q200">
        <v>-5.7000000000000002E-2</v>
      </c>
      <c r="R200">
        <v>-1.9E-2</v>
      </c>
      <c r="S200">
        <v>6.0000000000000001E-3</v>
      </c>
      <c r="T200">
        <v>5.2999999999999999E-2</v>
      </c>
      <c r="U200">
        <v>2.1999999999999999E-2</v>
      </c>
      <c r="V200">
        <v>3.1E-2</v>
      </c>
      <c r="W200">
        <v>5.2999999999999999E-2</v>
      </c>
      <c r="X200">
        <v>-5.7000000000000002E-2</v>
      </c>
      <c r="Y200">
        <v>0.11</v>
      </c>
      <c r="Z200">
        <v>7.18</v>
      </c>
      <c r="AA200">
        <v>6.43</v>
      </c>
      <c r="AB200" t="s">
        <v>444</v>
      </c>
      <c r="AC200" t="s">
        <v>42</v>
      </c>
    </row>
    <row r="201" spans="1:29" x14ac:dyDescent="0.25">
      <c r="A201" t="s">
        <v>445</v>
      </c>
      <c r="B201" t="s">
        <v>143</v>
      </c>
      <c r="C201" s="1">
        <v>46051.354166666664</v>
      </c>
      <c r="D201" s="2">
        <v>46051</v>
      </c>
      <c r="E201" t="s">
        <v>31</v>
      </c>
      <c r="G201" t="s">
        <v>32</v>
      </c>
      <c r="H201">
        <v>349.6</v>
      </c>
      <c r="I201">
        <v>10.24</v>
      </c>
      <c r="J201">
        <v>2.16</v>
      </c>
      <c r="K201">
        <v>2.23</v>
      </c>
      <c r="L201">
        <v>3.12</v>
      </c>
      <c r="M201">
        <v>34.14</v>
      </c>
      <c r="N201">
        <v>28.29</v>
      </c>
      <c r="O201">
        <v>86660000000</v>
      </c>
      <c r="P201">
        <v>1.26</v>
      </c>
      <c r="Q201">
        <v>1.4E-2</v>
      </c>
      <c r="R201">
        <v>2.9000000000000001E-2</v>
      </c>
      <c r="S201">
        <v>3.3000000000000002E-2</v>
      </c>
      <c r="T201">
        <v>3.1E-2</v>
      </c>
      <c r="U201">
        <v>6.6000000000000003E-2</v>
      </c>
      <c r="V201">
        <v>5.5E-2</v>
      </c>
      <c r="W201">
        <v>5.5E-2</v>
      </c>
      <c r="X201">
        <v>1.4E-2</v>
      </c>
      <c r="Y201">
        <v>4.1000000000000002E-2</v>
      </c>
      <c r="Z201">
        <v>368.91</v>
      </c>
      <c r="AA201">
        <v>354.64</v>
      </c>
      <c r="AB201" t="s">
        <v>446</v>
      </c>
      <c r="AC201" t="s">
        <v>158</v>
      </c>
    </row>
    <row r="202" spans="1:29" x14ac:dyDescent="0.25">
      <c r="A202" t="s">
        <v>447</v>
      </c>
      <c r="B202" t="s">
        <v>143</v>
      </c>
      <c r="C202" s="1">
        <v>46051.354166666664</v>
      </c>
      <c r="D202" s="2">
        <v>46051</v>
      </c>
      <c r="E202" t="s">
        <v>31</v>
      </c>
      <c r="G202" t="s">
        <v>32</v>
      </c>
      <c r="H202">
        <v>182.9</v>
      </c>
      <c r="I202">
        <v>4.8</v>
      </c>
      <c r="J202">
        <v>3.27</v>
      </c>
      <c r="K202">
        <v>3.82</v>
      </c>
      <c r="L202">
        <v>16.95</v>
      </c>
      <c r="M202">
        <v>38.31</v>
      </c>
      <c r="N202">
        <v>15.17</v>
      </c>
      <c r="O202">
        <v>56130000000</v>
      </c>
      <c r="P202">
        <v>0.77</v>
      </c>
      <c r="Q202">
        <v>-1.4E-2</v>
      </c>
      <c r="R202">
        <v>4.4999999999999998E-2</v>
      </c>
      <c r="S202">
        <v>6.0999999999999999E-2</v>
      </c>
      <c r="T202">
        <v>0.10100000000000001</v>
      </c>
      <c r="U202">
        <v>7.6999999999999999E-2</v>
      </c>
      <c r="V202">
        <v>9.4E-2</v>
      </c>
      <c r="W202">
        <v>0.108</v>
      </c>
      <c r="X202">
        <v>-2.1000000000000001E-2</v>
      </c>
      <c r="Y202">
        <v>0.129</v>
      </c>
      <c r="Z202">
        <v>202.68</v>
      </c>
      <c r="AA202">
        <v>179.12</v>
      </c>
      <c r="AB202" t="s">
        <v>448</v>
      </c>
      <c r="AC202" t="s">
        <v>34</v>
      </c>
    </row>
    <row r="203" spans="1:29" x14ac:dyDescent="0.25">
      <c r="A203" t="s">
        <v>449</v>
      </c>
      <c r="B203" t="s">
        <v>143</v>
      </c>
      <c r="C203" s="1">
        <v>46051.354166666664</v>
      </c>
      <c r="D203" s="2">
        <v>46051</v>
      </c>
      <c r="E203" t="s">
        <v>31</v>
      </c>
      <c r="F203" s="2">
        <v>46050</v>
      </c>
      <c r="G203" t="s">
        <v>32</v>
      </c>
      <c r="H203">
        <v>37.49</v>
      </c>
      <c r="I203">
        <v>4.62</v>
      </c>
      <c r="J203">
        <v>1.29</v>
      </c>
      <c r="K203">
        <v>1.85</v>
      </c>
      <c r="L203">
        <v>42.98</v>
      </c>
      <c r="M203">
        <v>8.15</v>
      </c>
      <c r="N203">
        <v>8.34</v>
      </c>
      <c r="O203">
        <v>5760000000</v>
      </c>
      <c r="P203">
        <v>0.61</v>
      </c>
      <c r="Q203">
        <v>0.107</v>
      </c>
      <c r="R203">
        <v>2.1999999999999999E-2</v>
      </c>
      <c r="S203">
        <v>1.9E-2</v>
      </c>
      <c r="T203">
        <v>4.7E-2</v>
      </c>
      <c r="U203">
        <v>3.0000000000000001E-3</v>
      </c>
      <c r="V203">
        <v>2.3E-2</v>
      </c>
      <c r="W203">
        <v>0.107</v>
      </c>
      <c r="X203">
        <v>8.9999999999999993E-3</v>
      </c>
      <c r="Y203">
        <v>9.8000000000000004E-2</v>
      </c>
      <c r="Z203">
        <v>41.51</v>
      </c>
      <c r="AA203">
        <v>37.82</v>
      </c>
      <c r="AB203" t="s">
        <v>450</v>
      </c>
      <c r="AC203" t="s">
        <v>94</v>
      </c>
    </row>
    <row r="204" spans="1:29" x14ac:dyDescent="0.25">
      <c r="A204" t="s">
        <v>451</v>
      </c>
      <c r="B204" t="s">
        <v>143</v>
      </c>
      <c r="C204" s="1">
        <v>46051.354166666664</v>
      </c>
      <c r="D204" s="2">
        <v>46051</v>
      </c>
      <c r="E204" t="s">
        <v>31</v>
      </c>
      <c r="G204" t="s">
        <v>32</v>
      </c>
      <c r="H204">
        <v>63.13</v>
      </c>
      <c r="I204">
        <v>5.24</v>
      </c>
      <c r="J204">
        <v>1.32</v>
      </c>
      <c r="K204">
        <v>1.3</v>
      </c>
      <c r="L204">
        <v>-1.33</v>
      </c>
      <c r="M204">
        <v>12.04</v>
      </c>
      <c r="N204">
        <v>11.29</v>
      </c>
      <c r="O204">
        <v>106000000000</v>
      </c>
      <c r="P204">
        <v>0.51</v>
      </c>
      <c r="Q204">
        <v>-1.7999999999999999E-2</v>
      </c>
      <c r="R204">
        <v>1.6E-2</v>
      </c>
      <c r="S204">
        <v>3.5999999999999997E-2</v>
      </c>
      <c r="T204">
        <v>0.02</v>
      </c>
      <c r="U204">
        <v>6.0999999999999999E-2</v>
      </c>
      <c r="V204">
        <v>6.5000000000000002E-2</v>
      </c>
      <c r="W204">
        <v>3.5999999999999997E-2</v>
      </c>
      <c r="X204">
        <v>-1.7999999999999999E-2</v>
      </c>
      <c r="Y204">
        <v>5.3999999999999999E-2</v>
      </c>
      <c r="Z204">
        <v>65.400000000000006</v>
      </c>
      <c r="AA204">
        <v>61.99</v>
      </c>
      <c r="AB204" t="s">
        <v>452</v>
      </c>
      <c r="AC204" t="s">
        <v>279</v>
      </c>
    </row>
    <row r="205" spans="1:29" x14ac:dyDescent="0.25">
      <c r="A205" t="s">
        <v>453</v>
      </c>
      <c r="B205" t="s">
        <v>143</v>
      </c>
      <c r="C205" s="1">
        <v>46051.354166666664</v>
      </c>
      <c r="D205" s="2">
        <v>46051</v>
      </c>
      <c r="E205" t="s">
        <v>31</v>
      </c>
      <c r="F205" s="2">
        <v>46048</v>
      </c>
      <c r="G205" t="s">
        <v>32</v>
      </c>
      <c r="H205">
        <v>15.06</v>
      </c>
      <c r="I205">
        <v>-2.33</v>
      </c>
      <c r="J205">
        <v>-0.37</v>
      </c>
      <c r="K205">
        <v>-0.34</v>
      </c>
      <c r="L205">
        <v>8.11</v>
      </c>
      <c r="O205">
        <v>95250000</v>
      </c>
      <c r="P205">
        <v>1.06</v>
      </c>
      <c r="Q205">
        <v>0.20300000000000001</v>
      </c>
      <c r="R205">
        <v>0.36499999999999999</v>
      </c>
      <c r="S205">
        <v>0.29399999999999998</v>
      </c>
      <c r="T205">
        <v>0.39500000000000002</v>
      </c>
      <c r="U205">
        <v>0.27</v>
      </c>
      <c r="V205">
        <v>0.29499999999999998</v>
      </c>
      <c r="W205">
        <v>0.39500000000000002</v>
      </c>
      <c r="X205">
        <v>0.20300000000000001</v>
      </c>
      <c r="Y205">
        <v>0.193</v>
      </c>
      <c r="Z205">
        <v>21.01</v>
      </c>
      <c r="AA205">
        <v>18.11</v>
      </c>
      <c r="AB205" t="s">
        <v>454</v>
      </c>
      <c r="AC205" t="s">
        <v>42</v>
      </c>
    </row>
    <row r="206" spans="1:29" x14ac:dyDescent="0.25">
      <c r="A206" t="s">
        <v>455</v>
      </c>
      <c r="B206" t="s">
        <v>321</v>
      </c>
      <c r="C206" s="1">
        <v>46051.354166666664</v>
      </c>
      <c r="D206" s="2">
        <v>46051</v>
      </c>
      <c r="E206" t="s">
        <v>31</v>
      </c>
      <c r="F206" s="2">
        <v>46048</v>
      </c>
      <c r="G206" t="s">
        <v>32</v>
      </c>
      <c r="H206">
        <v>10.76</v>
      </c>
      <c r="I206">
        <v>0.28999999999999998</v>
      </c>
      <c r="J206">
        <v>0.08</v>
      </c>
      <c r="K206">
        <v>0.25</v>
      </c>
      <c r="L206">
        <v>229.21</v>
      </c>
      <c r="M206">
        <v>38.35</v>
      </c>
      <c r="N206">
        <v>21.17</v>
      </c>
      <c r="O206">
        <v>5160000000</v>
      </c>
      <c r="P206">
        <v>7.0000000000000007E-2</v>
      </c>
      <c r="Q206">
        <v>0.18</v>
      </c>
      <c r="R206">
        <v>0.13800000000000001</v>
      </c>
      <c r="S206">
        <v>8.7999999999999995E-2</v>
      </c>
      <c r="T206">
        <v>0.127</v>
      </c>
      <c r="U206">
        <v>6.7000000000000004E-2</v>
      </c>
      <c r="V206">
        <v>4.5999999999999999E-2</v>
      </c>
      <c r="W206">
        <v>0.18</v>
      </c>
      <c r="X206">
        <v>8.1000000000000003E-2</v>
      </c>
      <c r="Y206">
        <v>9.9000000000000005E-2</v>
      </c>
      <c r="Z206">
        <v>12.7</v>
      </c>
      <c r="AA206">
        <v>11.63</v>
      </c>
      <c r="AB206" t="s">
        <v>456</v>
      </c>
      <c r="AC206" t="s">
        <v>279</v>
      </c>
    </row>
    <row r="207" spans="1:29" x14ac:dyDescent="0.25">
      <c r="A207" t="s">
        <v>457</v>
      </c>
      <c r="B207" t="s">
        <v>143</v>
      </c>
      <c r="C207" s="1">
        <v>46051.666666666664</v>
      </c>
      <c r="D207" s="2">
        <v>46051</v>
      </c>
      <c r="E207" t="s">
        <v>31</v>
      </c>
      <c r="G207" t="s">
        <v>40</v>
      </c>
      <c r="H207">
        <v>362.71</v>
      </c>
      <c r="I207">
        <v>10.87</v>
      </c>
      <c r="J207">
        <v>4.9000000000000004</v>
      </c>
      <c r="K207">
        <v>5.23</v>
      </c>
      <c r="L207">
        <v>6.83</v>
      </c>
      <c r="M207">
        <v>33.770000000000003</v>
      </c>
      <c r="N207">
        <v>15.79</v>
      </c>
      <c r="O207">
        <v>29370000000</v>
      </c>
      <c r="P207">
        <v>0.57999999999999996</v>
      </c>
      <c r="Q207">
        <v>5.0000000000000001E-3</v>
      </c>
      <c r="R207">
        <v>6.7000000000000004E-2</v>
      </c>
      <c r="S207">
        <v>2.7E-2</v>
      </c>
      <c r="T207">
        <v>8.4000000000000005E-2</v>
      </c>
      <c r="U207">
        <v>-0.09</v>
      </c>
      <c r="V207">
        <v>-7.6999999999999999E-2</v>
      </c>
      <c r="W207">
        <v>8.4000000000000005E-2</v>
      </c>
      <c r="X207">
        <v>5.0000000000000001E-3</v>
      </c>
      <c r="Y207">
        <v>7.9000000000000001E-2</v>
      </c>
      <c r="Z207">
        <v>393.25</v>
      </c>
      <c r="AA207">
        <v>364.5</v>
      </c>
      <c r="AB207" t="s">
        <v>458</v>
      </c>
      <c r="AC207" t="s">
        <v>94</v>
      </c>
    </row>
    <row r="208" spans="1:29" x14ac:dyDescent="0.25">
      <c r="A208" t="s">
        <v>459</v>
      </c>
      <c r="B208" t="s">
        <v>36</v>
      </c>
      <c r="C208" s="1">
        <v>46051.666666666664</v>
      </c>
      <c r="D208" s="2">
        <v>46051</v>
      </c>
      <c r="E208" t="s">
        <v>31</v>
      </c>
      <c r="G208" t="s">
        <v>40</v>
      </c>
      <c r="H208">
        <v>245.86</v>
      </c>
      <c r="I208">
        <v>4.3600000000000003</v>
      </c>
      <c r="J208">
        <v>1.99</v>
      </c>
      <c r="K208">
        <v>2.08</v>
      </c>
      <c r="L208">
        <v>4.6500000000000004</v>
      </c>
      <c r="M208">
        <v>55.48</v>
      </c>
      <c r="N208">
        <v>23.4</v>
      </c>
      <c r="O208">
        <v>2930000000</v>
      </c>
      <c r="P208">
        <v>1.1399999999999999</v>
      </c>
      <c r="Q208">
        <v>-2.5000000000000001E-2</v>
      </c>
      <c r="R208">
        <v>8.0000000000000002E-3</v>
      </c>
      <c r="S208">
        <v>-2.5999999999999999E-2</v>
      </c>
      <c r="T208">
        <v>5.1999999999999998E-2</v>
      </c>
      <c r="U208">
        <v>3.9E-2</v>
      </c>
      <c r="V208">
        <v>5.8999999999999997E-2</v>
      </c>
      <c r="W208">
        <v>5.1999999999999998E-2</v>
      </c>
      <c r="X208">
        <v>-2.5999999999999999E-2</v>
      </c>
      <c r="Y208">
        <v>7.9000000000000001E-2</v>
      </c>
      <c r="Z208">
        <v>258.76</v>
      </c>
      <c r="AA208">
        <v>239.39</v>
      </c>
      <c r="AB208" t="s">
        <v>460</v>
      </c>
      <c r="AC208" t="s">
        <v>38</v>
      </c>
    </row>
    <row r="209" spans="1:29" x14ac:dyDescent="0.25">
      <c r="A209" t="s">
        <v>461</v>
      </c>
      <c r="B209" t="s">
        <v>88</v>
      </c>
      <c r="C209" s="1">
        <v>46051.666666666664</v>
      </c>
      <c r="D209" s="2">
        <v>46051</v>
      </c>
      <c r="E209" t="s">
        <v>31</v>
      </c>
      <c r="G209" t="s">
        <v>40</v>
      </c>
      <c r="H209">
        <v>24.21</v>
      </c>
      <c r="I209">
        <v>1.54</v>
      </c>
      <c r="J209">
        <v>-0.49</v>
      </c>
      <c r="K209">
        <v>-1.05</v>
      </c>
      <c r="L209">
        <v>-111.55</v>
      </c>
      <c r="M209">
        <v>15.36</v>
      </c>
      <c r="N209">
        <v>7.11</v>
      </c>
      <c r="O209">
        <v>695800000</v>
      </c>
      <c r="P209">
        <v>2.2200000000000002</v>
      </c>
      <c r="Q209">
        <v>-0.109</v>
      </c>
      <c r="R209">
        <v>-5.8000000000000003E-2</v>
      </c>
      <c r="S209">
        <v>1.4E-2</v>
      </c>
      <c r="T209">
        <v>4.1000000000000002E-2</v>
      </c>
      <c r="U209">
        <v>9.9000000000000005E-2</v>
      </c>
      <c r="V209">
        <v>0.14499999999999999</v>
      </c>
      <c r="W209">
        <v>4.1000000000000002E-2</v>
      </c>
      <c r="X209">
        <v>-0.109</v>
      </c>
      <c r="Y209">
        <v>0.15</v>
      </c>
      <c r="Z209">
        <v>25.2</v>
      </c>
      <c r="AA209">
        <v>21.57</v>
      </c>
      <c r="AB209" t="s">
        <v>462</v>
      </c>
      <c r="AC209" t="s">
        <v>64</v>
      </c>
    </row>
    <row r="210" spans="1:29" x14ac:dyDescent="0.25">
      <c r="A210" t="s">
        <v>463</v>
      </c>
      <c r="C210" s="1">
        <v>46051.666666666664</v>
      </c>
      <c r="D210" s="2">
        <v>46051</v>
      </c>
      <c r="E210" t="s">
        <v>31</v>
      </c>
      <c r="G210" t="s">
        <v>40</v>
      </c>
      <c r="H210">
        <v>7.54</v>
      </c>
      <c r="I210">
        <v>-0.43</v>
      </c>
      <c r="O210">
        <v>276650000</v>
      </c>
      <c r="P210">
        <v>1.45</v>
      </c>
      <c r="Q210">
        <v>-4.2000000000000003E-2</v>
      </c>
      <c r="R210">
        <v>8.0000000000000002E-3</v>
      </c>
      <c r="S210">
        <v>-0.191</v>
      </c>
      <c r="T210">
        <v>-0.155</v>
      </c>
      <c r="U210">
        <v>-0.218</v>
      </c>
      <c r="V210">
        <v>-0.186</v>
      </c>
      <c r="W210">
        <v>8.0000000000000002E-3</v>
      </c>
      <c r="X210">
        <v>-0.191</v>
      </c>
      <c r="Y210">
        <v>0.19900000000000001</v>
      </c>
      <c r="Z210">
        <v>7.6</v>
      </c>
      <c r="AA210">
        <v>6.1</v>
      </c>
      <c r="AB210" t="s">
        <v>464</v>
      </c>
      <c r="AC210" t="s">
        <v>42</v>
      </c>
    </row>
    <row r="211" spans="1:29" x14ac:dyDescent="0.25">
      <c r="A211" t="s">
        <v>465</v>
      </c>
      <c r="B211" t="s">
        <v>143</v>
      </c>
      <c r="C211" s="1">
        <v>46052.354166666664</v>
      </c>
      <c r="D211" s="2">
        <v>46052</v>
      </c>
      <c r="E211" t="s">
        <v>31</v>
      </c>
      <c r="F211" s="2">
        <v>46048</v>
      </c>
      <c r="G211" t="s">
        <v>32</v>
      </c>
      <c r="H211">
        <v>171.19</v>
      </c>
      <c r="I211">
        <v>7.08</v>
      </c>
      <c r="J211">
        <v>1.44</v>
      </c>
      <c r="K211">
        <v>1.52</v>
      </c>
      <c r="L211">
        <v>5.2</v>
      </c>
      <c r="M211">
        <v>23.54</v>
      </c>
      <c r="N211">
        <v>24.84</v>
      </c>
      <c r="O211">
        <v>336000000000</v>
      </c>
      <c r="P211">
        <v>0.69</v>
      </c>
      <c r="Q211">
        <v>1.7000000000000001E-2</v>
      </c>
      <c r="R211">
        <v>5.8999999999999997E-2</v>
      </c>
      <c r="S211">
        <v>5.6000000000000001E-2</v>
      </c>
      <c r="T211">
        <v>6.5000000000000002E-2</v>
      </c>
      <c r="U211">
        <v>7.2999999999999995E-2</v>
      </c>
      <c r="V211">
        <v>7.2999999999999995E-2</v>
      </c>
      <c r="W211">
        <v>6.7000000000000004E-2</v>
      </c>
      <c r="X211">
        <v>1.7000000000000001E-2</v>
      </c>
      <c r="Y211">
        <v>0.05</v>
      </c>
      <c r="Z211">
        <v>182.6</v>
      </c>
      <c r="AA211">
        <v>174.03</v>
      </c>
      <c r="AB211" t="s">
        <v>466</v>
      </c>
      <c r="AC211" t="s">
        <v>34</v>
      </c>
    </row>
    <row r="212" spans="1:29" x14ac:dyDescent="0.25">
      <c r="A212" t="s">
        <v>467</v>
      </c>
      <c r="B212" t="s">
        <v>143</v>
      </c>
      <c r="C212" s="1">
        <v>46052.354166666664</v>
      </c>
      <c r="D212" s="2">
        <v>46052</v>
      </c>
      <c r="E212" t="s">
        <v>31</v>
      </c>
      <c r="F212" s="2">
        <v>46048</v>
      </c>
      <c r="G212" t="s">
        <v>32</v>
      </c>
      <c r="H212">
        <v>49.95</v>
      </c>
      <c r="I212">
        <v>-3.76</v>
      </c>
      <c r="J212">
        <v>0.25</v>
      </c>
      <c r="K212">
        <v>-0.26</v>
      </c>
      <c r="L212">
        <v>-204.95</v>
      </c>
      <c r="N212">
        <v>16.14</v>
      </c>
      <c r="O212">
        <v>16410000000</v>
      </c>
      <c r="P212">
        <v>0.7</v>
      </c>
      <c r="Q212">
        <v>6.0000000000000001E-3</v>
      </c>
      <c r="R212">
        <v>0.14299999999999999</v>
      </c>
      <c r="S212">
        <v>0.10299999999999999</v>
      </c>
      <c r="T212">
        <v>0.154</v>
      </c>
      <c r="U212">
        <v>0.153</v>
      </c>
      <c r="V212">
        <v>0.153</v>
      </c>
      <c r="W212">
        <v>0.154</v>
      </c>
      <c r="X212">
        <v>6.0000000000000001E-3</v>
      </c>
      <c r="Y212">
        <v>0.14799999999999999</v>
      </c>
      <c r="Z212">
        <v>57.66</v>
      </c>
      <c r="AA212">
        <v>50.25</v>
      </c>
      <c r="AB212" t="s">
        <v>468</v>
      </c>
      <c r="AC212" t="s">
        <v>158</v>
      </c>
    </row>
    <row r="213" spans="1:29" x14ac:dyDescent="0.25">
      <c r="A213" t="s">
        <v>469</v>
      </c>
      <c r="B213" t="s">
        <v>143</v>
      </c>
      <c r="C213" s="1">
        <v>46052.354166666664</v>
      </c>
      <c r="D213" s="2">
        <v>46052</v>
      </c>
      <c r="E213" t="s">
        <v>31</v>
      </c>
      <c r="G213" t="s">
        <v>32</v>
      </c>
      <c r="H213">
        <v>105.71</v>
      </c>
      <c r="I213">
        <v>5.57</v>
      </c>
      <c r="J213">
        <v>1.89</v>
      </c>
      <c r="K213">
        <v>1.97</v>
      </c>
      <c r="L213">
        <v>4.09</v>
      </c>
      <c r="M213">
        <v>18.96</v>
      </c>
      <c r="N213">
        <v>21.68</v>
      </c>
      <c r="O213">
        <v>52520000000</v>
      </c>
      <c r="P213">
        <v>0.72</v>
      </c>
      <c r="Q213">
        <v>-2.7E-2</v>
      </c>
      <c r="R213">
        <v>4.7E-2</v>
      </c>
      <c r="S213">
        <v>6.6000000000000003E-2</v>
      </c>
      <c r="T213">
        <v>8.4000000000000005E-2</v>
      </c>
      <c r="U213">
        <v>0.13300000000000001</v>
      </c>
      <c r="V213">
        <v>0.13300000000000001</v>
      </c>
      <c r="W213">
        <v>8.4000000000000005E-2</v>
      </c>
      <c r="X213">
        <v>-2.7E-2</v>
      </c>
      <c r="Y213">
        <v>0.111</v>
      </c>
      <c r="Z213">
        <v>114.58</v>
      </c>
      <c r="AA213">
        <v>102.82</v>
      </c>
      <c r="AB213" t="s">
        <v>470</v>
      </c>
      <c r="AC213" t="s">
        <v>34</v>
      </c>
    </row>
    <row r="214" spans="1:29" x14ac:dyDescent="0.25">
      <c r="A214" t="s">
        <v>471</v>
      </c>
      <c r="B214" t="s">
        <v>88</v>
      </c>
      <c r="C214" s="1">
        <v>46052.354166666664</v>
      </c>
      <c r="D214" s="2">
        <v>46052</v>
      </c>
      <c r="E214" t="s">
        <v>31</v>
      </c>
      <c r="G214" t="s">
        <v>32</v>
      </c>
      <c r="H214">
        <v>474.61</v>
      </c>
      <c r="I214">
        <v>15.02</v>
      </c>
      <c r="J214">
        <v>3.94</v>
      </c>
      <c r="K214">
        <v>4.51</v>
      </c>
      <c r="L214">
        <v>14.47</v>
      </c>
      <c r="M214">
        <v>31.59</v>
      </c>
      <c r="N214">
        <v>22.92</v>
      </c>
      <c r="O214">
        <v>9460000000</v>
      </c>
      <c r="P214">
        <v>1.73</v>
      </c>
      <c r="Q214">
        <v>-0.155</v>
      </c>
      <c r="R214">
        <v>-0.152</v>
      </c>
      <c r="S214">
        <v>-3.9E-2</v>
      </c>
      <c r="T214">
        <v>5.2999999999999999E-2</v>
      </c>
      <c r="U214">
        <v>9.1999999999999998E-2</v>
      </c>
      <c r="V214">
        <v>9.1999999999999998E-2</v>
      </c>
      <c r="W214">
        <v>5.2999999999999999E-2</v>
      </c>
      <c r="X214">
        <v>-0.155</v>
      </c>
      <c r="Y214">
        <v>0.20799999999999999</v>
      </c>
      <c r="Z214">
        <v>499.78</v>
      </c>
      <c r="AA214">
        <v>401.22</v>
      </c>
      <c r="AB214" t="s">
        <v>472</v>
      </c>
      <c r="AC214" t="s">
        <v>38</v>
      </c>
    </row>
    <row r="215" spans="1:29" x14ac:dyDescent="0.25">
      <c r="A215" t="s">
        <v>473</v>
      </c>
      <c r="B215" t="s">
        <v>143</v>
      </c>
      <c r="C215" s="1">
        <v>46055.875</v>
      </c>
      <c r="D215" s="2">
        <v>46055</v>
      </c>
      <c r="E215" t="s">
        <v>31</v>
      </c>
      <c r="F215" s="1">
        <v>46055.320138888892</v>
      </c>
      <c r="G215" t="s">
        <v>40</v>
      </c>
      <c r="H215">
        <v>113.71</v>
      </c>
      <c r="I215">
        <v>2.11</v>
      </c>
      <c r="J215">
        <v>0.68</v>
      </c>
      <c r="K215">
        <v>0.68</v>
      </c>
      <c r="L215">
        <v>0.37</v>
      </c>
      <c r="M215">
        <v>54.02</v>
      </c>
      <c r="N215">
        <v>38.200000000000003</v>
      </c>
      <c r="O215">
        <v>12250000000</v>
      </c>
      <c r="P215">
        <v>1.53</v>
      </c>
      <c r="Q215">
        <v>-0.13400000000000001</v>
      </c>
      <c r="R215">
        <v>-0.13700000000000001</v>
      </c>
      <c r="S215">
        <v>-2.5000000000000001E-2</v>
      </c>
      <c r="T215">
        <v>-0.126</v>
      </c>
      <c r="V215">
        <v>-0.10299999999999999</v>
      </c>
      <c r="W215">
        <v>-2.5000000000000001E-2</v>
      </c>
      <c r="X215">
        <v>-0.13700000000000001</v>
      </c>
      <c r="Y215">
        <v>0.113</v>
      </c>
      <c r="Z215">
        <v>110.92</v>
      </c>
      <c r="AA215">
        <v>98.1</v>
      </c>
      <c r="AB215" t="s">
        <v>474</v>
      </c>
      <c r="AC215" t="s">
        <v>42</v>
      </c>
    </row>
    <row r="216" spans="1:29" x14ac:dyDescent="0.25">
      <c r="A216" t="s">
        <v>475</v>
      </c>
      <c r="B216" t="s">
        <v>36</v>
      </c>
      <c r="C216" s="1">
        <v>46056.5625</v>
      </c>
      <c r="D216" s="2">
        <v>46056</v>
      </c>
      <c r="E216" t="s">
        <v>31</v>
      </c>
      <c r="F216" s="1">
        <v>46056.321331018517</v>
      </c>
      <c r="G216" t="s">
        <v>32</v>
      </c>
      <c r="H216">
        <v>173.91</v>
      </c>
      <c r="I216">
        <v>6.16</v>
      </c>
      <c r="J216">
        <v>2.23</v>
      </c>
      <c r="K216">
        <v>2.15</v>
      </c>
      <c r="L216">
        <v>-3.41</v>
      </c>
      <c r="M216">
        <v>28.23</v>
      </c>
      <c r="N216">
        <v>23.51</v>
      </c>
      <c r="O216">
        <v>4780000000</v>
      </c>
      <c r="P216">
        <v>0.4</v>
      </c>
      <c r="Q216">
        <v>-0.106</v>
      </c>
      <c r="R216">
        <v>-0.11</v>
      </c>
      <c r="S216">
        <v>-0.108</v>
      </c>
      <c r="T216">
        <v>-9.0999999999999998E-2</v>
      </c>
      <c r="V216">
        <v>-8.1000000000000003E-2</v>
      </c>
      <c r="W216">
        <v>-9.0999999999999998E-2</v>
      </c>
      <c r="X216">
        <v>-0.112</v>
      </c>
      <c r="Y216">
        <v>0.02</v>
      </c>
      <c r="Z216">
        <v>158.07</v>
      </c>
      <c r="AA216">
        <v>154.51</v>
      </c>
      <c r="AB216" t="s">
        <v>476</v>
      </c>
      <c r="AC216" t="s">
        <v>279</v>
      </c>
    </row>
    <row r="217" spans="1:29" x14ac:dyDescent="0.25">
      <c r="A217" t="s">
        <v>477</v>
      </c>
      <c r="B217" t="s">
        <v>143</v>
      </c>
      <c r="C217" s="1">
        <v>46056.5625</v>
      </c>
      <c r="D217" s="2">
        <v>46056</v>
      </c>
      <c r="E217" t="s">
        <v>31</v>
      </c>
      <c r="F217" s="1">
        <v>46055.320138888892</v>
      </c>
      <c r="G217" t="s">
        <v>32</v>
      </c>
      <c r="H217">
        <v>26.44</v>
      </c>
      <c r="I217">
        <v>-0.97</v>
      </c>
      <c r="J217">
        <v>-1.06</v>
      </c>
      <c r="K217">
        <v>-1.08</v>
      </c>
      <c r="L217">
        <v>-1.57</v>
      </c>
      <c r="O217">
        <v>11040000000</v>
      </c>
      <c r="P217">
        <v>3.85</v>
      </c>
      <c r="Q217">
        <v>-0.23799999999999999</v>
      </c>
      <c r="R217">
        <v>-0.253</v>
      </c>
      <c r="S217">
        <v>-0.19900000000000001</v>
      </c>
      <c r="T217">
        <v>-0.23799999999999999</v>
      </c>
      <c r="V217">
        <v>-0.18099999999999999</v>
      </c>
      <c r="W217">
        <v>-0.19900000000000001</v>
      </c>
      <c r="X217">
        <v>-0.36299999999999999</v>
      </c>
      <c r="Y217">
        <v>0.16500000000000001</v>
      </c>
      <c r="Z217">
        <v>21.19</v>
      </c>
      <c r="AA217">
        <v>16.84</v>
      </c>
      <c r="AB217" t="s">
        <v>478</v>
      </c>
      <c r="AC217" t="s">
        <v>94</v>
      </c>
    </row>
    <row r="218" spans="1:29" x14ac:dyDescent="0.25">
      <c r="A218" t="s">
        <v>479</v>
      </c>
      <c r="B218" t="s">
        <v>143</v>
      </c>
      <c r="C218" s="1">
        <v>46056.5625</v>
      </c>
      <c r="D218" s="2">
        <v>46056</v>
      </c>
      <c r="E218" t="s">
        <v>31</v>
      </c>
      <c r="G218" t="s">
        <v>32</v>
      </c>
      <c r="H218">
        <v>105.51</v>
      </c>
      <c r="I218">
        <v>3.94</v>
      </c>
      <c r="J218">
        <v>1.1599999999999999</v>
      </c>
      <c r="K218">
        <v>1.18</v>
      </c>
      <c r="L218">
        <v>1.83</v>
      </c>
      <c r="M218">
        <v>26.77</v>
      </c>
      <c r="N218">
        <v>19.63</v>
      </c>
      <c r="O218">
        <v>17270000000</v>
      </c>
      <c r="P218">
        <v>1.22</v>
      </c>
      <c r="Q218">
        <v>-7.8E-2</v>
      </c>
      <c r="R218">
        <v>-7.6999999999999999E-2</v>
      </c>
      <c r="S218">
        <v>-6.5000000000000002E-2</v>
      </c>
      <c r="T218">
        <v>-5.3999999999999999E-2</v>
      </c>
      <c r="V218">
        <v>-3.9E-2</v>
      </c>
      <c r="W218">
        <v>-4.7E-2</v>
      </c>
      <c r="X218">
        <v>-0.1</v>
      </c>
      <c r="Y218">
        <v>5.2999999999999999E-2</v>
      </c>
      <c r="Z218">
        <v>100.52</v>
      </c>
      <c r="AA218">
        <v>94.97</v>
      </c>
      <c r="AB218" t="s">
        <v>480</v>
      </c>
      <c r="AC218" t="s">
        <v>38</v>
      </c>
    </row>
    <row r="219" spans="1:29" x14ac:dyDescent="0.25">
      <c r="A219" t="s">
        <v>481</v>
      </c>
      <c r="B219" t="s">
        <v>143</v>
      </c>
      <c r="C219" s="1">
        <v>46056.5625</v>
      </c>
      <c r="D219" s="2">
        <v>46056</v>
      </c>
      <c r="E219" t="s">
        <v>31</v>
      </c>
      <c r="F219" s="1">
        <v>46056.321180555555</v>
      </c>
      <c r="G219" t="s">
        <v>32</v>
      </c>
      <c r="H219">
        <v>359.44</v>
      </c>
      <c r="I219">
        <v>10</v>
      </c>
      <c r="J219">
        <v>3.32</v>
      </c>
      <c r="K219">
        <v>3.33</v>
      </c>
      <c r="L219">
        <v>0.34</v>
      </c>
      <c r="M219">
        <v>35.950000000000003</v>
      </c>
      <c r="N219">
        <v>26.64</v>
      </c>
      <c r="O219">
        <v>139610000000</v>
      </c>
      <c r="P219">
        <v>1.18</v>
      </c>
      <c r="Q219">
        <v>1.4999999999999999E-2</v>
      </c>
      <c r="R219">
        <v>0.04</v>
      </c>
      <c r="S219">
        <v>0.05</v>
      </c>
      <c r="T219">
        <v>8.5999999999999993E-2</v>
      </c>
      <c r="V219">
        <v>8.3000000000000004E-2</v>
      </c>
      <c r="W219">
        <v>0.10199999999999999</v>
      </c>
      <c r="X219">
        <v>-1.2999999999999999E-2</v>
      </c>
      <c r="Y219">
        <v>0.115</v>
      </c>
      <c r="Z219">
        <v>396.09</v>
      </c>
      <c r="AA219">
        <v>354.67</v>
      </c>
      <c r="AB219" t="s">
        <v>482</v>
      </c>
      <c r="AC219" t="s">
        <v>38</v>
      </c>
    </row>
    <row r="220" spans="1:29" x14ac:dyDescent="0.25">
      <c r="A220" t="s">
        <v>483</v>
      </c>
      <c r="B220" t="s">
        <v>143</v>
      </c>
      <c r="C220" s="1">
        <v>46056.5625</v>
      </c>
      <c r="D220" s="2">
        <v>46056</v>
      </c>
      <c r="E220" t="s">
        <v>31</v>
      </c>
      <c r="G220" t="s">
        <v>32</v>
      </c>
      <c r="H220">
        <v>26.66</v>
      </c>
      <c r="I220">
        <v>1.72</v>
      </c>
      <c r="J220">
        <v>0.56999999999999995</v>
      </c>
      <c r="K220">
        <v>0.66</v>
      </c>
      <c r="L220">
        <v>16.18</v>
      </c>
      <c r="M220">
        <v>15.54</v>
      </c>
      <c r="N220">
        <v>8.9600000000000009</v>
      </c>
      <c r="O220">
        <v>151580000000</v>
      </c>
      <c r="P220">
        <v>0.44</v>
      </c>
      <c r="Q220">
        <v>5.0000000000000001E-3</v>
      </c>
      <c r="R220">
        <v>2.1000000000000001E-2</v>
      </c>
      <c r="S220">
        <v>3.5999999999999997E-2</v>
      </c>
      <c r="T220">
        <v>0.03</v>
      </c>
      <c r="V220">
        <v>3.5000000000000003E-2</v>
      </c>
      <c r="W220">
        <v>0.04</v>
      </c>
      <c r="X220">
        <v>-6.0000000000000001E-3</v>
      </c>
      <c r="Y220">
        <v>4.7E-2</v>
      </c>
      <c r="Z220">
        <v>27.73</v>
      </c>
      <c r="AA220">
        <v>26.49</v>
      </c>
      <c r="AB220" t="s">
        <v>484</v>
      </c>
      <c r="AC220" t="s">
        <v>47</v>
      </c>
    </row>
    <row r="221" spans="1:29" x14ac:dyDescent="0.25">
      <c r="A221" t="s">
        <v>485</v>
      </c>
      <c r="B221" t="s">
        <v>143</v>
      </c>
      <c r="C221" s="1">
        <v>46056.875</v>
      </c>
      <c r="D221" s="2">
        <v>46056</v>
      </c>
      <c r="E221" t="s">
        <v>31</v>
      </c>
      <c r="G221" t="s">
        <v>40</v>
      </c>
      <c r="H221">
        <v>242.11</v>
      </c>
      <c r="I221">
        <v>2.02</v>
      </c>
      <c r="J221">
        <v>1.32</v>
      </c>
      <c r="K221">
        <v>1.53</v>
      </c>
      <c r="L221">
        <v>15.98</v>
      </c>
      <c r="M221">
        <v>121.71</v>
      </c>
      <c r="N221">
        <v>36.75</v>
      </c>
      <c r="O221">
        <v>400940000000</v>
      </c>
      <c r="P221">
        <v>1.95</v>
      </c>
      <c r="Q221">
        <v>-0.17299999999999999</v>
      </c>
      <c r="R221">
        <v>-0.13900000000000001</v>
      </c>
      <c r="S221">
        <v>-0.11799999999999999</v>
      </c>
      <c r="T221">
        <v>-0.14899999999999999</v>
      </c>
      <c r="V221">
        <v>-0.14399999999999999</v>
      </c>
      <c r="W221">
        <v>-0.108</v>
      </c>
      <c r="X221">
        <v>-0.20499999999999999</v>
      </c>
      <c r="Y221">
        <v>9.7000000000000003E-2</v>
      </c>
      <c r="Z221">
        <v>216</v>
      </c>
      <c r="AA221">
        <v>192.5</v>
      </c>
      <c r="AB221" t="s">
        <v>486</v>
      </c>
      <c r="AC221" t="s">
        <v>42</v>
      </c>
    </row>
    <row r="222" spans="1:29" x14ac:dyDescent="0.25">
      <c r="A222" t="s">
        <v>487</v>
      </c>
      <c r="B222" t="s">
        <v>143</v>
      </c>
      <c r="C222" s="1">
        <v>46056.875</v>
      </c>
      <c r="D222" s="2">
        <v>46056</v>
      </c>
      <c r="E222" t="s">
        <v>31</v>
      </c>
      <c r="G222" t="s">
        <v>40</v>
      </c>
      <c r="H222">
        <v>8.4600000000000009</v>
      </c>
      <c r="I222">
        <v>-1.66</v>
      </c>
      <c r="J222">
        <v>-0.27</v>
      </c>
      <c r="K222">
        <v>0.23</v>
      </c>
      <c r="L222">
        <v>185.24</v>
      </c>
      <c r="O222">
        <v>9160000000</v>
      </c>
      <c r="P222">
        <v>1.54</v>
      </c>
      <c r="Q222">
        <v>-0.216</v>
      </c>
      <c r="R222">
        <v>-4.7E-2</v>
      </c>
      <c r="S222">
        <v>-0.08</v>
      </c>
      <c r="T222">
        <v>-5.3999999999999999E-2</v>
      </c>
      <c r="V222">
        <v>-8.0000000000000002E-3</v>
      </c>
      <c r="W222">
        <v>-4.7E-2</v>
      </c>
      <c r="X222">
        <v>-0.26400000000000001</v>
      </c>
      <c r="Y222">
        <v>0.216</v>
      </c>
      <c r="Z222">
        <v>8.06</v>
      </c>
      <c r="AA222">
        <v>6.23</v>
      </c>
      <c r="AB222" t="s">
        <v>488</v>
      </c>
      <c r="AC222" t="s">
        <v>129</v>
      </c>
    </row>
    <row r="223" spans="1:29" x14ac:dyDescent="0.25">
      <c r="A223" t="s">
        <v>489</v>
      </c>
      <c r="B223" t="s">
        <v>36</v>
      </c>
      <c r="C223" s="1">
        <v>46056.875</v>
      </c>
      <c r="D223" s="2">
        <v>46056</v>
      </c>
      <c r="E223" t="s">
        <v>31</v>
      </c>
      <c r="G223" t="s">
        <v>40</v>
      </c>
      <c r="H223">
        <v>9.56</v>
      </c>
      <c r="I223">
        <v>1.24</v>
      </c>
      <c r="J223">
        <v>7.0000000000000007E-2</v>
      </c>
      <c r="K223">
        <v>0.11</v>
      </c>
      <c r="L223">
        <v>50.01</v>
      </c>
      <c r="M223">
        <v>8.34</v>
      </c>
      <c r="N223">
        <v>28.72</v>
      </c>
      <c r="O223">
        <v>279710000</v>
      </c>
      <c r="P223">
        <v>0.8</v>
      </c>
      <c r="Q223">
        <v>-1E-3</v>
      </c>
      <c r="R223">
        <v>4.5999999999999999E-2</v>
      </c>
      <c r="S223">
        <v>4.3999999999999997E-2</v>
      </c>
      <c r="T223">
        <v>1.6E-2</v>
      </c>
      <c r="V223">
        <v>4.4999999999999998E-2</v>
      </c>
      <c r="W223">
        <v>4.5999999999999999E-2</v>
      </c>
      <c r="X223">
        <v>-1.7000000000000001E-2</v>
      </c>
      <c r="Y223">
        <v>6.3E-2</v>
      </c>
      <c r="Z223">
        <v>10</v>
      </c>
      <c r="AA223">
        <v>9.4</v>
      </c>
      <c r="AB223" t="s">
        <v>490</v>
      </c>
      <c r="AC223" t="s">
        <v>42</v>
      </c>
    </row>
    <row r="224" spans="1:29" x14ac:dyDescent="0.25">
      <c r="A224" t="s">
        <v>491</v>
      </c>
      <c r="B224" t="s">
        <v>321</v>
      </c>
      <c r="C224" s="1">
        <v>46056.875</v>
      </c>
      <c r="D224" s="2">
        <v>46056</v>
      </c>
      <c r="E224" t="s">
        <v>31</v>
      </c>
      <c r="F224" s="1">
        <v>46055.320138888892</v>
      </c>
      <c r="G224" t="s">
        <v>40</v>
      </c>
      <c r="H224">
        <v>4.9400000000000004</v>
      </c>
      <c r="I224">
        <v>-0.73</v>
      </c>
      <c r="J224">
        <v>0.12</v>
      </c>
      <c r="K224">
        <v>0.18</v>
      </c>
      <c r="L224">
        <v>56.52</v>
      </c>
      <c r="N224">
        <v>6.14</v>
      </c>
      <c r="O224">
        <v>585420000</v>
      </c>
      <c r="P224">
        <v>2.27</v>
      </c>
      <c r="Q224">
        <v>-5.0999999999999997E-2</v>
      </c>
      <c r="R224">
        <v>-0.16</v>
      </c>
      <c r="S224">
        <v>-5.5E-2</v>
      </c>
      <c r="T224">
        <v>-0.152</v>
      </c>
      <c r="V224">
        <v>-0.152</v>
      </c>
      <c r="W224">
        <v>-5.0999999999999997E-2</v>
      </c>
      <c r="X224">
        <v>-0.16</v>
      </c>
      <c r="Y224">
        <v>0.109</v>
      </c>
      <c r="Z224">
        <v>4.6900000000000004</v>
      </c>
      <c r="AA224">
        <v>4.1500000000000004</v>
      </c>
      <c r="AB224" t="s">
        <v>492</v>
      </c>
      <c r="AC224" t="s">
        <v>42</v>
      </c>
    </row>
    <row r="225" spans="1:29" x14ac:dyDescent="0.25">
      <c r="A225" t="s">
        <v>87</v>
      </c>
      <c r="B225" t="s">
        <v>36</v>
      </c>
      <c r="C225" s="1">
        <v>46056.875</v>
      </c>
      <c r="D225" s="2">
        <v>46056</v>
      </c>
      <c r="E225" t="s">
        <v>31</v>
      </c>
      <c r="F225" s="1">
        <v>46056.320949074077</v>
      </c>
      <c r="G225" t="s">
        <v>40</v>
      </c>
      <c r="H225">
        <v>22.43</v>
      </c>
      <c r="I225">
        <v>1.04</v>
      </c>
      <c r="J225">
        <v>0.5</v>
      </c>
      <c r="K225">
        <v>0.54</v>
      </c>
      <c r="L225">
        <v>8</v>
      </c>
      <c r="M225">
        <v>21.71</v>
      </c>
      <c r="N225">
        <v>7.32</v>
      </c>
      <c r="O225">
        <v>290640000</v>
      </c>
      <c r="P225">
        <v>0.86</v>
      </c>
      <c r="Q225">
        <v>0.14000000000000001</v>
      </c>
      <c r="R225">
        <v>0.17499999999999999</v>
      </c>
      <c r="S225">
        <v>0.16300000000000001</v>
      </c>
      <c r="T225">
        <v>0.11600000000000001</v>
      </c>
      <c r="V225">
        <v>0.113</v>
      </c>
      <c r="W225">
        <v>0.17499999999999999</v>
      </c>
      <c r="X225">
        <v>0.11600000000000001</v>
      </c>
      <c r="Y225">
        <v>5.8999999999999997E-2</v>
      </c>
      <c r="Z225">
        <v>26.36</v>
      </c>
      <c r="AA225">
        <v>25.04</v>
      </c>
      <c r="AB225" t="s">
        <v>89</v>
      </c>
      <c r="AC225" t="s">
        <v>42</v>
      </c>
    </row>
    <row r="226" spans="1:29" x14ac:dyDescent="0.25">
      <c r="A226" t="s">
        <v>81</v>
      </c>
      <c r="B226" t="s">
        <v>143</v>
      </c>
      <c r="C226" s="1">
        <v>46056.875</v>
      </c>
      <c r="D226" s="2">
        <v>46056</v>
      </c>
      <c r="E226" t="s">
        <v>31</v>
      </c>
      <c r="F226" s="1">
        <v>46055.320138888892</v>
      </c>
      <c r="G226" t="s">
        <v>40</v>
      </c>
      <c r="H226">
        <v>56.02</v>
      </c>
      <c r="I226">
        <v>1.02</v>
      </c>
      <c r="J226">
        <v>0.64</v>
      </c>
      <c r="K226">
        <v>0.71</v>
      </c>
      <c r="L226">
        <v>10.94</v>
      </c>
      <c r="M226">
        <v>50.96</v>
      </c>
      <c r="N226">
        <v>20.84</v>
      </c>
      <c r="O226">
        <v>1860000000</v>
      </c>
      <c r="P226">
        <v>1.03</v>
      </c>
      <c r="Q226">
        <v>-1E-3</v>
      </c>
      <c r="R226">
        <v>4.1000000000000002E-2</v>
      </c>
      <c r="S226">
        <v>0.04</v>
      </c>
      <c r="T226">
        <v>4.2000000000000003E-2</v>
      </c>
      <c r="V226">
        <v>5.7000000000000002E-2</v>
      </c>
      <c r="W226">
        <v>5.1999999999999998E-2</v>
      </c>
      <c r="X226">
        <v>-1E-3</v>
      </c>
      <c r="Y226">
        <v>5.2999999999999999E-2</v>
      </c>
      <c r="Z226">
        <v>58.93</v>
      </c>
      <c r="AA226">
        <v>55.98</v>
      </c>
      <c r="AB226" t="s">
        <v>82</v>
      </c>
      <c r="AC226" t="s">
        <v>42</v>
      </c>
    </row>
    <row r="227" spans="1:29" x14ac:dyDescent="0.25">
      <c r="A227" t="s">
        <v>493</v>
      </c>
      <c r="B227" t="s">
        <v>143</v>
      </c>
      <c r="C227" s="1">
        <v>46056.875</v>
      </c>
      <c r="D227" s="2">
        <v>46056</v>
      </c>
      <c r="E227" t="s">
        <v>31</v>
      </c>
      <c r="G227" t="s">
        <v>40</v>
      </c>
      <c r="H227">
        <v>336.26</v>
      </c>
      <c r="I227">
        <v>12.94</v>
      </c>
      <c r="J227">
        <v>2.41</v>
      </c>
      <c r="K227">
        <v>2.4500000000000002</v>
      </c>
      <c r="L227">
        <v>1.5</v>
      </c>
      <c r="M227">
        <v>26.65</v>
      </c>
      <c r="N227">
        <v>15.57</v>
      </c>
      <c r="O227">
        <v>185600000000</v>
      </c>
      <c r="P227">
        <v>0.47</v>
      </c>
      <c r="Q227">
        <v>8.2000000000000003E-2</v>
      </c>
      <c r="R227">
        <v>0.13500000000000001</v>
      </c>
      <c r="S227">
        <v>7.6999999999999999E-2</v>
      </c>
      <c r="T227">
        <v>8.2000000000000003E-2</v>
      </c>
      <c r="V227">
        <v>9.8000000000000004E-2</v>
      </c>
      <c r="W227">
        <v>0.13500000000000001</v>
      </c>
      <c r="X227">
        <v>7.6999999999999999E-2</v>
      </c>
      <c r="Y227">
        <v>5.8000000000000003E-2</v>
      </c>
      <c r="Z227">
        <v>381.68</v>
      </c>
      <c r="AA227">
        <v>362.14</v>
      </c>
      <c r="AB227" t="s">
        <v>494</v>
      </c>
      <c r="AC227" t="s">
        <v>47</v>
      </c>
    </row>
    <row r="228" spans="1:29" x14ac:dyDescent="0.25">
      <c r="A228" t="s">
        <v>495</v>
      </c>
      <c r="B228" t="s">
        <v>88</v>
      </c>
      <c r="C228" s="1">
        <v>46057.5625</v>
      </c>
      <c r="D228" s="2">
        <v>46057</v>
      </c>
      <c r="E228" t="s">
        <v>31</v>
      </c>
      <c r="G228" t="s">
        <v>32</v>
      </c>
      <c r="H228">
        <v>361.13</v>
      </c>
      <c r="I228">
        <v>7.95</v>
      </c>
      <c r="J228">
        <v>3.39</v>
      </c>
      <c r="K228">
        <v>2.87</v>
      </c>
      <c r="L228">
        <v>-15.34</v>
      </c>
      <c r="M228">
        <v>45.49</v>
      </c>
      <c r="N228">
        <v>18.559999999999999</v>
      </c>
      <c r="O228">
        <v>70370000000</v>
      </c>
      <c r="P228">
        <v>0.69</v>
      </c>
      <c r="Q228">
        <v>-2.7E-2</v>
      </c>
      <c r="R228">
        <v>4.0000000000000001E-3</v>
      </c>
      <c r="S228">
        <v>1.0999999999999999E-2</v>
      </c>
      <c r="T228">
        <v>-1E-3</v>
      </c>
      <c r="V228">
        <v>-1E-3</v>
      </c>
      <c r="W228">
        <v>1.0999999999999999E-2</v>
      </c>
      <c r="X228">
        <v>-0.03</v>
      </c>
      <c r="Y228">
        <v>0.04</v>
      </c>
      <c r="Z228">
        <v>365.07</v>
      </c>
      <c r="AA228">
        <v>350.46</v>
      </c>
      <c r="AB228" t="s">
        <v>496</v>
      </c>
      <c r="AC228" t="s">
        <v>47</v>
      </c>
    </row>
    <row r="229" spans="1:29" x14ac:dyDescent="0.25">
      <c r="A229" t="s">
        <v>497</v>
      </c>
      <c r="B229" t="s">
        <v>143</v>
      </c>
      <c r="C229" s="1">
        <v>46057.5625</v>
      </c>
      <c r="D229" s="2">
        <v>46057</v>
      </c>
      <c r="E229" t="s">
        <v>31</v>
      </c>
      <c r="F229" s="1">
        <v>46055.320138888892</v>
      </c>
      <c r="G229" t="s">
        <v>32</v>
      </c>
      <c r="H229">
        <v>116.88</v>
      </c>
      <c r="I229">
        <v>9.31</v>
      </c>
      <c r="J229">
        <v>1.82</v>
      </c>
      <c r="K229">
        <v>1.99</v>
      </c>
      <c r="L229">
        <v>9.6199999999999992</v>
      </c>
      <c r="M229">
        <v>12.23</v>
      </c>
      <c r="N229">
        <v>13.02</v>
      </c>
      <c r="O229">
        <v>22020000000</v>
      </c>
      <c r="P229">
        <v>0.77</v>
      </c>
      <c r="Q229">
        <v>-2.5000000000000001E-2</v>
      </c>
      <c r="R229">
        <v>1.4999999999999999E-2</v>
      </c>
      <c r="S229">
        <v>4.3999999999999997E-2</v>
      </c>
      <c r="T229">
        <v>4.8000000000000001E-2</v>
      </c>
      <c r="V229">
        <v>4.8000000000000001E-2</v>
      </c>
      <c r="W229">
        <v>4.8000000000000001E-2</v>
      </c>
      <c r="X229">
        <v>-2.5000000000000001E-2</v>
      </c>
      <c r="Y229">
        <v>7.2999999999999995E-2</v>
      </c>
      <c r="Z229">
        <v>122.53</v>
      </c>
      <c r="AA229">
        <v>113.94</v>
      </c>
      <c r="AB229" t="s">
        <v>498</v>
      </c>
      <c r="AC229" t="s">
        <v>279</v>
      </c>
    </row>
    <row r="230" spans="1:29" x14ac:dyDescent="0.25">
      <c r="A230" t="s">
        <v>499</v>
      </c>
      <c r="B230" t="s">
        <v>143</v>
      </c>
      <c r="C230" s="1">
        <v>46057.5625</v>
      </c>
      <c r="D230" s="2">
        <v>46057</v>
      </c>
      <c r="E230" t="s">
        <v>31</v>
      </c>
      <c r="G230" t="s">
        <v>32</v>
      </c>
      <c r="H230">
        <v>148.09</v>
      </c>
      <c r="I230">
        <v>3.66</v>
      </c>
      <c r="J230">
        <v>2.15</v>
      </c>
      <c r="K230">
        <v>2.4700000000000002</v>
      </c>
      <c r="L230">
        <v>14.7</v>
      </c>
      <c r="M230">
        <v>40.47</v>
      </c>
      <c r="N230">
        <v>13.24</v>
      </c>
      <c r="O230">
        <v>59670000000</v>
      </c>
      <c r="P230">
        <v>0.86</v>
      </c>
      <c r="Q230">
        <v>4.2999999999999997E-2</v>
      </c>
      <c r="R230">
        <v>6.4000000000000001E-2</v>
      </c>
      <c r="S230">
        <v>9.0999999999999998E-2</v>
      </c>
      <c r="T230">
        <v>7.9000000000000001E-2</v>
      </c>
      <c r="V230">
        <v>7.9000000000000001E-2</v>
      </c>
      <c r="W230">
        <v>9.0999999999999998E-2</v>
      </c>
      <c r="X230">
        <v>4.2999999999999997E-2</v>
      </c>
      <c r="Y230">
        <v>4.8000000000000001E-2</v>
      </c>
      <c r="Z230">
        <v>161.5</v>
      </c>
      <c r="AA230">
        <v>154.43</v>
      </c>
      <c r="AB230" t="s">
        <v>500</v>
      </c>
      <c r="AC230" t="s">
        <v>34</v>
      </c>
    </row>
    <row r="231" spans="1:29" x14ac:dyDescent="0.25">
      <c r="A231" t="s">
        <v>501</v>
      </c>
      <c r="B231" t="s">
        <v>36</v>
      </c>
      <c r="C231" s="1">
        <v>46057.5625</v>
      </c>
      <c r="D231" s="2">
        <v>46057</v>
      </c>
      <c r="E231" t="s">
        <v>31</v>
      </c>
      <c r="F231" s="1">
        <v>46057.321168981478</v>
      </c>
      <c r="G231" t="s">
        <v>32</v>
      </c>
      <c r="H231">
        <v>97.09</v>
      </c>
      <c r="I231">
        <v>2.08</v>
      </c>
      <c r="J231">
        <v>1.0900000000000001</v>
      </c>
      <c r="K231">
        <v>0.98</v>
      </c>
      <c r="L231">
        <v>-10.029999999999999</v>
      </c>
      <c r="M231">
        <v>46.68</v>
      </c>
      <c r="N231">
        <v>15.47</v>
      </c>
      <c r="O231">
        <v>15220000000</v>
      </c>
      <c r="P231">
        <v>0.91</v>
      </c>
      <c r="Q231">
        <v>-7.1999999999999995E-2</v>
      </c>
      <c r="R231">
        <v>-5.3999999999999999E-2</v>
      </c>
      <c r="S231">
        <v>-7.0000000000000007E-2</v>
      </c>
      <c r="T231">
        <v>8.9999999999999993E-3</v>
      </c>
      <c r="V231">
        <v>8.9999999999999993E-3</v>
      </c>
      <c r="W231">
        <v>8.9999999999999993E-3</v>
      </c>
      <c r="X231">
        <v>-7.2999999999999995E-2</v>
      </c>
      <c r="Y231">
        <v>8.2000000000000003E-2</v>
      </c>
      <c r="Z231">
        <v>98</v>
      </c>
      <c r="AA231">
        <v>90.01</v>
      </c>
      <c r="AB231" t="s">
        <v>502</v>
      </c>
      <c r="AC231" t="s">
        <v>279</v>
      </c>
    </row>
    <row r="232" spans="1:29" x14ac:dyDescent="0.25">
      <c r="A232" t="s">
        <v>503</v>
      </c>
      <c r="B232" t="s">
        <v>143</v>
      </c>
      <c r="C232" s="1">
        <v>46057.5625</v>
      </c>
      <c r="D232" s="2">
        <v>46057</v>
      </c>
      <c r="E232" t="s">
        <v>31</v>
      </c>
      <c r="G232" t="s">
        <v>32</v>
      </c>
      <c r="H232">
        <v>293.07</v>
      </c>
      <c r="I232">
        <v>10.32</v>
      </c>
      <c r="J232">
        <v>2.74</v>
      </c>
      <c r="K232">
        <v>2.77</v>
      </c>
      <c r="L232">
        <v>0.99</v>
      </c>
      <c r="M232">
        <v>28.41</v>
      </c>
      <c r="N232">
        <v>25.04</v>
      </c>
      <c r="O232">
        <v>105680000000</v>
      </c>
      <c r="P232">
        <v>0.27</v>
      </c>
      <c r="Q232">
        <v>1.4999999999999999E-2</v>
      </c>
      <c r="R232">
        <v>4.8000000000000001E-2</v>
      </c>
      <c r="S232">
        <v>3.2000000000000001E-2</v>
      </c>
      <c r="T232">
        <v>3.4000000000000002E-2</v>
      </c>
      <c r="V232">
        <v>3.4000000000000002E-2</v>
      </c>
      <c r="W232">
        <v>4.8000000000000001E-2</v>
      </c>
      <c r="X232">
        <v>1.4999999999999999E-2</v>
      </c>
      <c r="Y232">
        <v>3.4000000000000002E-2</v>
      </c>
      <c r="Z232">
        <v>307.24</v>
      </c>
      <c r="AA232">
        <v>297.38</v>
      </c>
      <c r="AB232" t="s">
        <v>504</v>
      </c>
      <c r="AC232" t="s">
        <v>94</v>
      </c>
    </row>
    <row r="233" spans="1:29" x14ac:dyDescent="0.25">
      <c r="A233" t="s">
        <v>505</v>
      </c>
      <c r="B233" t="s">
        <v>88</v>
      </c>
      <c r="C233" s="1">
        <v>46057.875</v>
      </c>
      <c r="D233" s="2">
        <v>46057</v>
      </c>
      <c r="E233" t="s">
        <v>31</v>
      </c>
      <c r="G233" t="s">
        <v>40</v>
      </c>
      <c r="H233">
        <v>53.48</v>
      </c>
      <c r="I233">
        <v>-0.16</v>
      </c>
      <c r="J233">
        <v>0.09</v>
      </c>
      <c r="K233">
        <v>0.4</v>
      </c>
      <c r="L233">
        <v>366.22</v>
      </c>
      <c r="N233">
        <v>80.09</v>
      </c>
      <c r="O233">
        <v>32470000000</v>
      </c>
      <c r="P233">
        <v>2.14</v>
      </c>
      <c r="Q233">
        <v>6.0000000000000001E-3</v>
      </c>
      <c r="R233">
        <v>0.16900000000000001</v>
      </c>
      <c r="S233">
        <v>9.1999999999999998E-2</v>
      </c>
      <c r="T233">
        <v>2.7E-2</v>
      </c>
      <c r="V233">
        <v>2.7E-2</v>
      </c>
      <c r="W233">
        <v>0.17299999999999999</v>
      </c>
      <c r="X233">
        <v>6.0000000000000001E-3</v>
      </c>
      <c r="Y233">
        <v>0.16700000000000001</v>
      </c>
      <c r="Z233">
        <v>62.71</v>
      </c>
      <c r="AA233">
        <v>53.78</v>
      </c>
      <c r="AB233" t="s">
        <v>506</v>
      </c>
      <c r="AC233" t="s">
        <v>38</v>
      </c>
    </row>
    <row r="234" spans="1:29" x14ac:dyDescent="0.25">
      <c r="A234" t="s">
        <v>507</v>
      </c>
      <c r="B234" t="s">
        <v>143</v>
      </c>
      <c r="C234" s="1">
        <v>46057.875</v>
      </c>
      <c r="D234" s="2">
        <v>46057</v>
      </c>
      <c r="E234" t="s">
        <v>31</v>
      </c>
      <c r="G234" t="s">
        <v>40</v>
      </c>
      <c r="H234">
        <v>73.739999999999995</v>
      </c>
      <c r="I234">
        <v>3.96</v>
      </c>
      <c r="J234">
        <v>1.41</v>
      </c>
      <c r="K234">
        <v>1.41</v>
      </c>
      <c r="M234">
        <v>18.690000000000001</v>
      </c>
      <c r="N234">
        <v>17.09</v>
      </c>
      <c r="O234">
        <v>5590000000</v>
      </c>
      <c r="P234">
        <v>0.73</v>
      </c>
      <c r="Q234">
        <v>8.9999999999999993E-3</v>
      </c>
      <c r="R234">
        <v>-3.1E-2</v>
      </c>
      <c r="S234">
        <v>-1.4999999999999999E-2</v>
      </c>
      <c r="T234">
        <v>4.0000000000000001E-3</v>
      </c>
      <c r="V234">
        <v>4.0000000000000001E-3</v>
      </c>
      <c r="W234">
        <v>8.9999999999999993E-3</v>
      </c>
      <c r="X234">
        <v>-3.1E-2</v>
      </c>
      <c r="Y234">
        <v>0.04</v>
      </c>
      <c r="Z234">
        <v>74.44</v>
      </c>
      <c r="AA234">
        <v>71.48</v>
      </c>
      <c r="AB234" t="s">
        <v>508</v>
      </c>
      <c r="AC234" t="s">
        <v>59</v>
      </c>
    </row>
    <row r="235" spans="1:29" x14ac:dyDescent="0.25">
      <c r="A235" t="s">
        <v>509</v>
      </c>
      <c r="B235" t="s">
        <v>36</v>
      </c>
      <c r="C235" s="1">
        <v>46057.875</v>
      </c>
      <c r="D235" s="2">
        <v>46057</v>
      </c>
      <c r="E235" t="s">
        <v>31</v>
      </c>
      <c r="G235" t="s">
        <v>40</v>
      </c>
      <c r="H235">
        <v>41</v>
      </c>
      <c r="I235">
        <v>1.66</v>
      </c>
      <c r="J235">
        <v>0.67</v>
      </c>
      <c r="K235">
        <v>0.87</v>
      </c>
      <c r="L235">
        <v>29.85</v>
      </c>
      <c r="M235">
        <v>24.84</v>
      </c>
      <c r="N235">
        <v>13.69</v>
      </c>
      <c r="O235">
        <v>1670000000</v>
      </c>
      <c r="P235">
        <v>0.79</v>
      </c>
      <c r="Q235">
        <v>0.22</v>
      </c>
      <c r="R235">
        <v>0.26500000000000001</v>
      </c>
      <c r="S235">
        <v>0.25700000000000001</v>
      </c>
      <c r="T235">
        <v>0.27500000000000002</v>
      </c>
      <c r="V235">
        <v>0.27500000000000002</v>
      </c>
      <c r="W235">
        <v>0.29399999999999998</v>
      </c>
      <c r="X235">
        <v>0.22</v>
      </c>
      <c r="Y235">
        <v>7.4999999999999997E-2</v>
      </c>
      <c r="Z235">
        <v>53.07</v>
      </c>
      <c r="AA235">
        <v>50</v>
      </c>
      <c r="AB235" t="s">
        <v>510</v>
      </c>
      <c r="AC235" t="s">
        <v>47</v>
      </c>
    </row>
    <row r="236" spans="1:29" x14ac:dyDescent="0.25">
      <c r="A236" t="s">
        <v>511</v>
      </c>
      <c r="B236" t="s">
        <v>143</v>
      </c>
      <c r="C236" s="1">
        <v>46057.875</v>
      </c>
      <c r="D236" s="2">
        <v>46057</v>
      </c>
      <c r="E236" t="s">
        <v>31</v>
      </c>
      <c r="G236" t="s">
        <v>40</v>
      </c>
      <c r="H236">
        <v>13.94</v>
      </c>
      <c r="I236">
        <v>1.24</v>
      </c>
      <c r="J236">
        <v>0.4</v>
      </c>
      <c r="K236">
        <v>0.41</v>
      </c>
      <c r="L236">
        <v>1.46</v>
      </c>
      <c r="M236">
        <v>11.51</v>
      </c>
      <c r="N236">
        <v>8.02</v>
      </c>
      <c r="O236">
        <v>2300000000</v>
      </c>
      <c r="P236">
        <v>-0.08</v>
      </c>
      <c r="Q236">
        <v>2.1000000000000001E-2</v>
      </c>
      <c r="R236">
        <v>6.8000000000000005E-2</v>
      </c>
      <c r="S236">
        <v>0.11</v>
      </c>
      <c r="T236">
        <v>0.14099999999999999</v>
      </c>
      <c r="V236">
        <v>0.14099999999999999</v>
      </c>
      <c r="W236">
        <v>0.14099999999999999</v>
      </c>
      <c r="X236">
        <v>2.1000000000000001E-2</v>
      </c>
      <c r="Y236">
        <v>0.121</v>
      </c>
      <c r="Z236">
        <v>15.91</v>
      </c>
      <c r="AA236">
        <v>14.23</v>
      </c>
      <c r="AB236" t="s">
        <v>512</v>
      </c>
      <c r="AC236" t="s">
        <v>34</v>
      </c>
    </row>
    <row r="237" spans="1:29" x14ac:dyDescent="0.25">
      <c r="A237" t="s">
        <v>138</v>
      </c>
      <c r="B237" t="s">
        <v>143</v>
      </c>
      <c r="C237" s="1">
        <v>46057.875</v>
      </c>
      <c r="D237" s="2">
        <v>46057</v>
      </c>
      <c r="E237" t="s">
        <v>31</v>
      </c>
      <c r="G237" t="s">
        <v>40</v>
      </c>
      <c r="H237">
        <v>8.49</v>
      </c>
      <c r="I237">
        <v>0.68</v>
      </c>
      <c r="J237">
        <v>0.2</v>
      </c>
      <c r="K237">
        <v>0.2</v>
      </c>
      <c r="L237">
        <v>0.19</v>
      </c>
      <c r="M237">
        <v>12.97</v>
      </c>
      <c r="N237">
        <v>9.9499999999999993</v>
      </c>
      <c r="O237">
        <v>48520000000</v>
      </c>
      <c r="P237">
        <v>0.62</v>
      </c>
      <c r="Q237">
        <v>2.1999999999999999E-2</v>
      </c>
      <c r="R237">
        <v>9.8000000000000004E-2</v>
      </c>
      <c r="S237">
        <v>0.127</v>
      </c>
      <c r="T237">
        <v>7.9000000000000001E-2</v>
      </c>
      <c r="V237">
        <v>7.9000000000000001E-2</v>
      </c>
      <c r="W237">
        <v>0.127</v>
      </c>
      <c r="X237">
        <v>2.1999999999999999E-2</v>
      </c>
      <c r="Y237">
        <v>0.105</v>
      </c>
      <c r="Z237">
        <v>9.57</v>
      </c>
      <c r="AA237">
        <v>8.68</v>
      </c>
      <c r="AB237" t="s">
        <v>139</v>
      </c>
      <c r="AC237" t="s">
        <v>94</v>
      </c>
    </row>
    <row r="238" spans="1:29" x14ac:dyDescent="0.25">
      <c r="A238" t="s">
        <v>513</v>
      </c>
      <c r="B238" t="s">
        <v>321</v>
      </c>
      <c r="C238" s="1">
        <v>46057.875</v>
      </c>
      <c r="D238" s="2">
        <v>46057</v>
      </c>
      <c r="E238" t="s">
        <v>31</v>
      </c>
      <c r="G238" t="s">
        <v>40</v>
      </c>
      <c r="H238">
        <v>264.27</v>
      </c>
      <c r="I238">
        <v>7.03</v>
      </c>
      <c r="J238">
        <v>2.5299999999999998</v>
      </c>
      <c r="K238">
        <v>2.5299999999999998</v>
      </c>
      <c r="L238">
        <v>-0.1</v>
      </c>
      <c r="M238">
        <v>37.25</v>
      </c>
      <c r="N238">
        <v>23.49</v>
      </c>
      <c r="O238">
        <v>25680000000</v>
      </c>
      <c r="P238">
        <v>1.04</v>
      </c>
      <c r="Q238">
        <v>-7.6999999999999999E-2</v>
      </c>
      <c r="R238">
        <v>-7.0999999999999994E-2</v>
      </c>
      <c r="S238">
        <v>-7.9000000000000001E-2</v>
      </c>
      <c r="T238">
        <v>-0.06</v>
      </c>
      <c r="V238">
        <v>-0.06</v>
      </c>
      <c r="W238">
        <v>-4.5999999999999999E-2</v>
      </c>
      <c r="X238">
        <v>-7.9000000000000001E-2</v>
      </c>
      <c r="Y238">
        <v>3.3000000000000002E-2</v>
      </c>
      <c r="Z238">
        <v>252.16</v>
      </c>
      <c r="AA238">
        <v>243.47</v>
      </c>
      <c r="AB238" t="s">
        <v>514</v>
      </c>
      <c r="AC238" t="s">
        <v>47</v>
      </c>
    </row>
    <row r="239" spans="1:29" x14ac:dyDescent="0.25">
      <c r="A239" t="s">
        <v>515</v>
      </c>
      <c r="B239" t="s">
        <v>88</v>
      </c>
      <c r="C239" s="1">
        <v>46058.5625</v>
      </c>
      <c r="D239" s="2">
        <v>46058</v>
      </c>
      <c r="E239" t="s">
        <v>31</v>
      </c>
      <c r="G239" t="s">
        <v>32</v>
      </c>
      <c r="H239">
        <v>20.010000000000002</v>
      </c>
      <c r="I239">
        <v>1.64</v>
      </c>
      <c r="J239">
        <v>0.75</v>
      </c>
      <c r="K239">
        <v>0.7</v>
      </c>
      <c r="L239">
        <v>-6.63</v>
      </c>
      <c r="M239">
        <v>12.2</v>
      </c>
      <c r="N239">
        <v>10.67</v>
      </c>
      <c r="O239">
        <v>1320000000</v>
      </c>
      <c r="P239">
        <v>0.39</v>
      </c>
      <c r="Q239">
        <v>-1.2999999999999999E-2</v>
      </c>
      <c r="R239">
        <v>2E-3</v>
      </c>
      <c r="S239">
        <v>0</v>
      </c>
      <c r="V239">
        <v>1.2E-2</v>
      </c>
      <c r="W239">
        <v>1.2E-2</v>
      </c>
      <c r="X239">
        <v>-1.2999999999999999E-2</v>
      </c>
      <c r="Y239">
        <v>2.5000000000000001E-2</v>
      </c>
      <c r="Z239">
        <v>20.260000000000002</v>
      </c>
      <c r="AA239">
        <v>19.75</v>
      </c>
      <c r="AB239" t="s">
        <v>516</v>
      </c>
      <c r="AC239" t="s">
        <v>59</v>
      </c>
    </row>
    <row r="240" spans="1:29" x14ac:dyDescent="0.25">
      <c r="A240" t="s">
        <v>517</v>
      </c>
      <c r="B240" t="s">
        <v>143</v>
      </c>
      <c r="C240" s="1">
        <v>46058.5625</v>
      </c>
      <c r="D240" s="2">
        <v>46058</v>
      </c>
      <c r="E240" t="s">
        <v>31</v>
      </c>
      <c r="G240" t="s">
        <v>32</v>
      </c>
      <c r="H240">
        <v>185.15</v>
      </c>
      <c r="I240">
        <v>6.02</v>
      </c>
      <c r="J240">
        <v>1.78</v>
      </c>
      <c r="K240">
        <v>1.85</v>
      </c>
      <c r="L240">
        <v>4.03</v>
      </c>
      <c r="M240">
        <v>30.77</v>
      </c>
      <c r="N240">
        <v>25.39</v>
      </c>
      <c r="O240">
        <v>15930000000</v>
      </c>
      <c r="P240">
        <v>1.35</v>
      </c>
      <c r="Q240">
        <v>0.11700000000000001</v>
      </c>
      <c r="R240">
        <v>8.3000000000000004E-2</v>
      </c>
      <c r="S240">
        <v>7.4999999999999997E-2</v>
      </c>
      <c r="V240">
        <v>9.7000000000000003E-2</v>
      </c>
      <c r="W240">
        <v>0.11700000000000001</v>
      </c>
      <c r="X240">
        <v>7.4999999999999997E-2</v>
      </c>
      <c r="Y240">
        <v>4.2000000000000003E-2</v>
      </c>
      <c r="Z240">
        <v>206.87</v>
      </c>
      <c r="AA240">
        <v>199.11</v>
      </c>
      <c r="AB240" t="s">
        <v>518</v>
      </c>
      <c r="AC240" t="s">
        <v>38</v>
      </c>
    </row>
    <row r="241" spans="1:29" x14ac:dyDescent="0.25">
      <c r="A241" t="s">
        <v>519</v>
      </c>
      <c r="B241" t="s">
        <v>36</v>
      </c>
      <c r="C241" s="1">
        <v>46058.5625</v>
      </c>
      <c r="D241" s="2">
        <v>46058</v>
      </c>
      <c r="E241" t="s">
        <v>31</v>
      </c>
      <c r="G241" t="s">
        <v>32</v>
      </c>
      <c r="H241">
        <v>44.33</v>
      </c>
      <c r="I241">
        <v>3.21</v>
      </c>
      <c r="J241">
        <v>1.01</v>
      </c>
      <c r="K241">
        <v>0.8</v>
      </c>
      <c r="L241">
        <v>-20.81</v>
      </c>
      <c r="M241">
        <v>13.82</v>
      </c>
      <c r="N241">
        <v>9.3699999999999992</v>
      </c>
      <c r="O241">
        <v>972710000</v>
      </c>
      <c r="P241">
        <v>1.25</v>
      </c>
      <c r="Q241">
        <v>-0.13400000000000001</v>
      </c>
      <c r="R241">
        <v>-0.17199999999999999</v>
      </c>
      <c r="S241">
        <v>-0.218</v>
      </c>
      <c r="V241">
        <v>-0.19400000000000001</v>
      </c>
      <c r="W241">
        <v>-0.13400000000000001</v>
      </c>
      <c r="X241">
        <v>-0.218</v>
      </c>
      <c r="Y241">
        <v>8.4000000000000005E-2</v>
      </c>
      <c r="Z241">
        <v>38.39</v>
      </c>
      <c r="AA241">
        <v>34.659999999999997</v>
      </c>
      <c r="AB241" t="s">
        <v>520</v>
      </c>
      <c r="AC241" t="s">
        <v>42</v>
      </c>
    </row>
    <row r="242" spans="1:29" x14ac:dyDescent="0.25">
      <c r="A242" t="s">
        <v>521</v>
      </c>
      <c r="B242" t="s">
        <v>143</v>
      </c>
      <c r="C242" s="1">
        <v>46058.5625</v>
      </c>
      <c r="D242" s="2">
        <v>46058</v>
      </c>
      <c r="E242" t="s">
        <v>31</v>
      </c>
      <c r="G242" t="s">
        <v>32</v>
      </c>
      <c r="H242">
        <v>42.45</v>
      </c>
      <c r="I242">
        <v>3.03</v>
      </c>
      <c r="J242">
        <v>0.92</v>
      </c>
      <c r="K242">
        <v>0.96</v>
      </c>
      <c r="L242">
        <v>4.37</v>
      </c>
      <c r="M242">
        <v>13.99</v>
      </c>
      <c r="N242">
        <v>11.31</v>
      </c>
      <c r="O242">
        <v>3860000000</v>
      </c>
      <c r="P242">
        <v>0.85</v>
      </c>
      <c r="Q242">
        <v>-7.0999999999999994E-2</v>
      </c>
      <c r="R242">
        <v>-0.06</v>
      </c>
      <c r="S242">
        <v>-4.4999999999999998E-2</v>
      </c>
      <c r="V242">
        <v>-3.7999999999999999E-2</v>
      </c>
      <c r="W242">
        <v>-3.7999999999999999E-2</v>
      </c>
      <c r="X242">
        <v>-7.0999999999999994E-2</v>
      </c>
      <c r="Y242">
        <v>3.3000000000000002E-2</v>
      </c>
      <c r="Z242">
        <v>40.840000000000003</v>
      </c>
      <c r="AA242">
        <v>39.43</v>
      </c>
      <c r="AB242" t="s">
        <v>522</v>
      </c>
      <c r="AC242" t="s">
        <v>94</v>
      </c>
    </row>
    <row r="243" spans="1:29" x14ac:dyDescent="0.25">
      <c r="A243" t="s">
        <v>523</v>
      </c>
      <c r="B243" t="s">
        <v>143</v>
      </c>
      <c r="C243" s="1">
        <v>46058.5625</v>
      </c>
      <c r="D243" s="2">
        <v>46058</v>
      </c>
      <c r="E243" t="s">
        <v>31</v>
      </c>
      <c r="F243" s="1">
        <v>46058.322314814817</v>
      </c>
      <c r="G243" t="s">
        <v>32</v>
      </c>
      <c r="H243">
        <v>78.790000000000006</v>
      </c>
      <c r="I243">
        <v>4.88</v>
      </c>
      <c r="J243">
        <v>1.29</v>
      </c>
      <c r="K243">
        <v>1.1399999999999999</v>
      </c>
      <c r="L243">
        <v>-11.83</v>
      </c>
      <c r="M243">
        <v>16.149999999999999</v>
      </c>
      <c r="N243">
        <v>10.45</v>
      </c>
      <c r="O243">
        <v>223640000000</v>
      </c>
      <c r="P243">
        <v>0.14000000000000001</v>
      </c>
      <c r="Q243">
        <v>-4.3999999999999997E-2</v>
      </c>
      <c r="R243">
        <v>-1.0999999999999999E-2</v>
      </c>
      <c r="S243">
        <v>-7.0000000000000001E-3</v>
      </c>
      <c r="V243">
        <v>0</v>
      </c>
      <c r="W243">
        <v>1.7999999999999999E-2</v>
      </c>
      <c r="X243">
        <v>-4.3999999999999997E-2</v>
      </c>
      <c r="Y243">
        <v>6.3E-2</v>
      </c>
      <c r="Z243">
        <v>80.23</v>
      </c>
      <c r="AA243">
        <v>75.290000000000006</v>
      </c>
      <c r="AB243" t="s">
        <v>524</v>
      </c>
      <c r="AC243" t="s">
        <v>34</v>
      </c>
    </row>
    <row r="244" spans="1:29" x14ac:dyDescent="0.25">
      <c r="A244" t="s">
        <v>525</v>
      </c>
      <c r="B244" t="s">
        <v>143</v>
      </c>
      <c r="C244" s="1">
        <v>46058.5625</v>
      </c>
      <c r="D244" s="2">
        <v>46058</v>
      </c>
      <c r="E244" t="s">
        <v>31</v>
      </c>
      <c r="G244" t="s">
        <v>32</v>
      </c>
      <c r="H244">
        <v>21.03</v>
      </c>
      <c r="I244">
        <v>0.83</v>
      </c>
      <c r="J244">
        <v>0.35</v>
      </c>
      <c r="K244">
        <v>0.37</v>
      </c>
      <c r="L244">
        <v>5.71</v>
      </c>
      <c r="M244">
        <v>25.48</v>
      </c>
      <c r="N244">
        <v>20.86</v>
      </c>
      <c r="O244">
        <v>4300000000</v>
      </c>
      <c r="P244">
        <v>0.81</v>
      </c>
      <c r="Q244">
        <v>-3.3000000000000002E-2</v>
      </c>
      <c r="R244">
        <v>-3.4000000000000002E-2</v>
      </c>
      <c r="S244">
        <v>-0.01</v>
      </c>
      <c r="V244">
        <v>-1.0999999999999999E-2</v>
      </c>
      <c r="W244">
        <v>-0.01</v>
      </c>
      <c r="X244">
        <v>-4.2999999999999997E-2</v>
      </c>
      <c r="Y244">
        <v>3.3000000000000002E-2</v>
      </c>
      <c r="Z244">
        <v>20.81</v>
      </c>
      <c r="AA244">
        <v>20.12</v>
      </c>
      <c r="AB244" t="s">
        <v>526</v>
      </c>
      <c r="AC244" t="s">
        <v>59</v>
      </c>
    </row>
    <row r="245" spans="1:29" x14ac:dyDescent="0.25">
      <c r="A245" t="s">
        <v>527</v>
      </c>
      <c r="B245" t="s">
        <v>143</v>
      </c>
      <c r="C245" s="1">
        <v>46058.5625</v>
      </c>
      <c r="D245" s="2">
        <v>46058</v>
      </c>
      <c r="E245" t="s">
        <v>31</v>
      </c>
      <c r="G245" t="s">
        <v>32</v>
      </c>
      <c r="H245">
        <v>112.38</v>
      </c>
      <c r="I245">
        <v>5.29</v>
      </c>
      <c r="J245">
        <v>1.39</v>
      </c>
      <c r="K245">
        <v>1.42</v>
      </c>
      <c r="L245">
        <v>2.2799999999999998</v>
      </c>
      <c r="M245">
        <v>21.42</v>
      </c>
      <c r="N245">
        <v>20.260000000000002</v>
      </c>
      <c r="O245">
        <v>36870000000</v>
      </c>
      <c r="P245">
        <v>0.57999999999999996</v>
      </c>
      <c r="Q245">
        <v>-1.7000000000000001E-2</v>
      </c>
      <c r="R245">
        <v>-4.0000000000000001E-3</v>
      </c>
      <c r="S245">
        <v>6.0000000000000001E-3</v>
      </c>
      <c r="V245">
        <v>0.03</v>
      </c>
      <c r="W245">
        <v>0.03</v>
      </c>
      <c r="X245">
        <v>-1.7999999999999999E-2</v>
      </c>
      <c r="Y245">
        <v>4.8000000000000001E-2</v>
      </c>
      <c r="Z245">
        <v>115.79</v>
      </c>
      <c r="AA245">
        <v>110.39</v>
      </c>
      <c r="AB245" t="s">
        <v>528</v>
      </c>
      <c r="AC245" t="s">
        <v>59</v>
      </c>
    </row>
    <row r="246" spans="1:29" x14ac:dyDescent="0.25">
      <c r="A246" t="s">
        <v>529</v>
      </c>
      <c r="B246" t="s">
        <v>143</v>
      </c>
      <c r="C246" s="1">
        <v>46058.875</v>
      </c>
      <c r="D246" s="2">
        <v>46058</v>
      </c>
      <c r="E246" t="s">
        <v>31</v>
      </c>
      <c r="F246" s="1">
        <v>46055.320138888892</v>
      </c>
      <c r="G246" t="s">
        <v>40</v>
      </c>
      <c r="H246">
        <v>75.48</v>
      </c>
      <c r="I246">
        <v>2.19</v>
      </c>
      <c r="J246">
        <v>0.57999999999999996</v>
      </c>
      <c r="K246">
        <v>1.0900000000000001</v>
      </c>
      <c r="L246">
        <v>87.16</v>
      </c>
      <c r="M246">
        <v>33.340000000000003</v>
      </c>
      <c r="N246">
        <v>29.86</v>
      </c>
      <c r="O246">
        <v>13330000000</v>
      </c>
      <c r="P246">
        <v>0.96</v>
      </c>
      <c r="Q246">
        <v>-3.0000000000000001E-3</v>
      </c>
      <c r="R246">
        <v>2.1000000000000001E-2</v>
      </c>
      <c r="S246">
        <v>2E-3</v>
      </c>
      <c r="V246">
        <v>8.9999999999999993E-3</v>
      </c>
      <c r="W246">
        <v>2.1000000000000001E-2</v>
      </c>
      <c r="X246">
        <v>-3.0000000000000001E-3</v>
      </c>
      <c r="Y246">
        <v>2.5000000000000001E-2</v>
      </c>
      <c r="Z246">
        <v>77.069999999999993</v>
      </c>
      <c r="AA246">
        <v>75.22</v>
      </c>
      <c r="AB246" t="s">
        <v>530</v>
      </c>
      <c r="AC246" t="s">
        <v>52</v>
      </c>
    </row>
    <row r="247" spans="1:29" x14ac:dyDescent="0.25">
      <c r="A247" t="s">
        <v>531</v>
      </c>
      <c r="B247" t="s">
        <v>143</v>
      </c>
      <c r="C247" s="1">
        <v>46058.875</v>
      </c>
      <c r="D247" s="2">
        <v>46058</v>
      </c>
      <c r="E247" t="s">
        <v>31</v>
      </c>
      <c r="G247" t="s">
        <v>40</v>
      </c>
      <c r="H247">
        <v>4</v>
      </c>
      <c r="I247">
        <v>0.35</v>
      </c>
      <c r="J247">
        <v>0.11</v>
      </c>
      <c r="K247">
        <v>0.1</v>
      </c>
      <c r="L247">
        <v>-6.19</v>
      </c>
      <c r="M247">
        <v>11.15</v>
      </c>
      <c r="N247">
        <v>7.72</v>
      </c>
      <c r="O247">
        <v>20860000000</v>
      </c>
      <c r="P247">
        <v>0.56999999999999995</v>
      </c>
      <c r="Q247">
        <v>-5.0000000000000001E-3</v>
      </c>
      <c r="R247">
        <v>0</v>
      </c>
      <c r="S247">
        <v>2.3E-2</v>
      </c>
      <c r="V247">
        <v>-5.0000000000000001E-3</v>
      </c>
      <c r="W247">
        <v>0.04</v>
      </c>
      <c r="X247">
        <v>-5.0000000000000001E-3</v>
      </c>
      <c r="Y247">
        <v>4.4999999999999998E-2</v>
      </c>
      <c r="Z247">
        <v>4.16</v>
      </c>
      <c r="AA247">
        <v>3.98</v>
      </c>
      <c r="AB247" t="s">
        <v>532</v>
      </c>
      <c r="AC247" t="s">
        <v>94</v>
      </c>
    </row>
    <row r="248" spans="1:29" x14ac:dyDescent="0.25">
      <c r="A248" t="s">
        <v>533</v>
      </c>
      <c r="B248" t="s">
        <v>143</v>
      </c>
      <c r="C248" s="1">
        <v>46058.875</v>
      </c>
      <c r="D248" s="2">
        <v>46058</v>
      </c>
      <c r="E248" t="s">
        <v>31</v>
      </c>
      <c r="G248" t="s">
        <v>40</v>
      </c>
      <c r="H248">
        <v>32</v>
      </c>
      <c r="I248">
        <v>1.32</v>
      </c>
      <c r="J248">
        <v>0.33</v>
      </c>
      <c r="K248">
        <v>0.33</v>
      </c>
      <c r="L248">
        <v>-0.3</v>
      </c>
      <c r="M248">
        <v>23.58</v>
      </c>
      <c r="N248">
        <v>23.45</v>
      </c>
      <c r="O248">
        <v>7030000000</v>
      </c>
      <c r="P248">
        <v>0.88</v>
      </c>
      <c r="Q248">
        <v>1.4E-2</v>
      </c>
      <c r="R248">
        <v>1.0999999999999999E-2</v>
      </c>
      <c r="S248">
        <v>-7.0000000000000001E-3</v>
      </c>
      <c r="V248">
        <v>-1.4E-2</v>
      </c>
      <c r="W248">
        <v>1.4E-2</v>
      </c>
      <c r="X248">
        <v>-1.4E-2</v>
      </c>
      <c r="Y248">
        <v>2.8000000000000001E-2</v>
      </c>
      <c r="Z248">
        <v>32.450000000000003</v>
      </c>
      <c r="AA248">
        <v>31.54</v>
      </c>
      <c r="AB248" t="s">
        <v>534</v>
      </c>
      <c r="AC248" t="s">
        <v>52</v>
      </c>
    </row>
    <row r="249" spans="1:29" x14ac:dyDescent="0.25">
      <c r="A249" t="s">
        <v>535</v>
      </c>
      <c r="B249" t="s">
        <v>88</v>
      </c>
      <c r="C249" s="1">
        <v>46058.875</v>
      </c>
      <c r="D249" s="2">
        <v>46058</v>
      </c>
      <c r="E249" t="s">
        <v>31</v>
      </c>
      <c r="G249" t="s">
        <v>40</v>
      </c>
      <c r="H249">
        <v>238.4</v>
      </c>
      <c r="I249">
        <v>4.8899999999999997</v>
      </c>
      <c r="J249">
        <v>1.32</v>
      </c>
      <c r="K249">
        <v>1.64</v>
      </c>
      <c r="L249">
        <v>24.24</v>
      </c>
      <c r="M249">
        <v>47.88</v>
      </c>
      <c r="N249">
        <v>26.63</v>
      </c>
      <c r="O249">
        <v>6060000000</v>
      </c>
      <c r="P249">
        <v>1.2</v>
      </c>
      <c r="Q249">
        <v>6.2E-2</v>
      </c>
      <c r="R249">
        <v>0.16700000000000001</v>
      </c>
      <c r="S249">
        <v>0.14399999999999999</v>
      </c>
      <c r="V249">
        <v>0.126</v>
      </c>
      <c r="W249">
        <v>0.188</v>
      </c>
      <c r="X249">
        <v>6.2E-2</v>
      </c>
      <c r="Y249">
        <v>0.126</v>
      </c>
      <c r="Z249">
        <v>283.19</v>
      </c>
      <c r="AA249">
        <v>253.1</v>
      </c>
      <c r="AB249" t="s">
        <v>536</v>
      </c>
      <c r="AC249" t="s">
        <v>42</v>
      </c>
    </row>
    <row r="250" spans="1:29" x14ac:dyDescent="0.25">
      <c r="A250" t="s">
        <v>537</v>
      </c>
      <c r="B250" t="s">
        <v>143</v>
      </c>
      <c r="C250" s="1">
        <v>46058.875</v>
      </c>
      <c r="D250" s="2">
        <v>46052</v>
      </c>
      <c r="E250" t="s">
        <v>223</v>
      </c>
      <c r="F250" s="1">
        <v>46054.314583333333</v>
      </c>
      <c r="G250" t="s">
        <v>40</v>
      </c>
      <c r="H250">
        <v>55.68</v>
      </c>
      <c r="I250">
        <v>5.88</v>
      </c>
      <c r="M250">
        <v>8.86</v>
      </c>
      <c r="N250">
        <v>7.46</v>
      </c>
      <c r="O250">
        <v>520720000</v>
      </c>
      <c r="P250">
        <v>0.79</v>
      </c>
      <c r="Q250">
        <v>8.0000000000000002E-3</v>
      </c>
      <c r="R250">
        <v>-7.0000000000000001E-3</v>
      </c>
      <c r="S250">
        <v>1.7000000000000001E-2</v>
      </c>
      <c r="V250">
        <v>2.1999999999999999E-2</v>
      </c>
      <c r="W250">
        <v>2.1999999999999999E-2</v>
      </c>
      <c r="X250">
        <v>-8.0000000000000002E-3</v>
      </c>
      <c r="Y250">
        <v>0.03</v>
      </c>
      <c r="Z250">
        <v>56.88</v>
      </c>
      <c r="AA250">
        <v>55.22</v>
      </c>
      <c r="AB250" t="s">
        <v>538</v>
      </c>
      <c r="AC250" t="s">
        <v>94</v>
      </c>
    </row>
    <row r="251" spans="1:29" x14ac:dyDescent="0.25">
      <c r="A251" t="s">
        <v>539</v>
      </c>
      <c r="B251" t="s">
        <v>143</v>
      </c>
      <c r="C251" s="1">
        <v>46058.875</v>
      </c>
      <c r="D251" s="2">
        <v>46058</v>
      </c>
      <c r="E251" t="s">
        <v>31</v>
      </c>
      <c r="G251" t="s">
        <v>40</v>
      </c>
      <c r="H251">
        <v>136.6</v>
      </c>
      <c r="I251">
        <v>-0.03</v>
      </c>
      <c r="J251">
        <v>0.3</v>
      </c>
      <c r="K251">
        <v>0.45</v>
      </c>
      <c r="L251">
        <v>50.38</v>
      </c>
      <c r="N251">
        <v>139.01</v>
      </c>
      <c r="O251">
        <v>36930000000</v>
      </c>
      <c r="P251">
        <v>3.12</v>
      </c>
      <c r="Q251">
        <v>4.7E-2</v>
      </c>
      <c r="R251">
        <v>8.8999999999999996E-2</v>
      </c>
      <c r="S251">
        <v>1.7999999999999999E-2</v>
      </c>
      <c r="V251">
        <v>2.3E-2</v>
      </c>
      <c r="W251">
        <v>0.13900000000000001</v>
      </c>
      <c r="X251">
        <v>1.7999999999999999E-2</v>
      </c>
      <c r="Y251">
        <v>0.121</v>
      </c>
      <c r="Z251">
        <v>155.54</v>
      </c>
      <c r="AA251">
        <v>139.03</v>
      </c>
      <c r="AB251" t="s">
        <v>540</v>
      </c>
      <c r="AC251" t="s">
        <v>38</v>
      </c>
    </row>
    <row r="252" spans="1:29" x14ac:dyDescent="0.25">
      <c r="A252" t="s">
        <v>541</v>
      </c>
      <c r="B252" t="s">
        <v>36</v>
      </c>
      <c r="C252" s="1">
        <v>46058.875</v>
      </c>
      <c r="D252" s="2">
        <v>46058</v>
      </c>
      <c r="E252" t="s">
        <v>31</v>
      </c>
      <c r="G252" t="s">
        <v>40</v>
      </c>
      <c r="H252">
        <v>39.79</v>
      </c>
      <c r="I252">
        <v>1.96</v>
      </c>
      <c r="J252">
        <v>-7.0000000000000007E-2</v>
      </c>
      <c r="K252">
        <v>-0.52</v>
      </c>
      <c r="L252">
        <v>-606.71</v>
      </c>
      <c r="M252">
        <v>27.73</v>
      </c>
      <c r="N252">
        <v>185.15</v>
      </c>
      <c r="O252">
        <v>17810000000</v>
      </c>
      <c r="P252">
        <v>4.28</v>
      </c>
      <c r="Q252">
        <v>5.0999999999999997E-2</v>
      </c>
      <c r="R252">
        <v>7.9000000000000001E-2</v>
      </c>
      <c r="S252">
        <v>6.0000000000000001E-3</v>
      </c>
      <c r="V252">
        <v>6.0999999999999999E-2</v>
      </c>
      <c r="W252">
        <v>0.16</v>
      </c>
      <c r="X252">
        <v>6.0000000000000001E-3</v>
      </c>
      <c r="Y252">
        <v>0.154</v>
      </c>
      <c r="Z252">
        <v>46.15</v>
      </c>
      <c r="AA252">
        <v>40.03</v>
      </c>
      <c r="AB252" t="s">
        <v>542</v>
      </c>
      <c r="AC252" t="s">
        <v>94</v>
      </c>
    </row>
    <row r="253" spans="1:29" x14ac:dyDescent="0.25">
      <c r="A253" t="s">
        <v>543</v>
      </c>
      <c r="B253" t="s">
        <v>321</v>
      </c>
      <c r="C253" s="1">
        <v>46058.875</v>
      </c>
      <c r="D253" s="2">
        <v>46058</v>
      </c>
      <c r="E253" t="s">
        <v>31</v>
      </c>
      <c r="G253" t="s">
        <v>40</v>
      </c>
      <c r="H253">
        <v>0.82</v>
      </c>
      <c r="I253">
        <v>-0.2</v>
      </c>
      <c r="J253">
        <v>-0.04</v>
      </c>
      <c r="K253">
        <v>-0.03</v>
      </c>
      <c r="L253">
        <v>25</v>
      </c>
      <c r="O253">
        <v>143850000</v>
      </c>
      <c r="P253">
        <v>1.91</v>
      </c>
      <c r="Q253">
        <v>2.1999999999999999E-2</v>
      </c>
      <c r="R253">
        <v>-3.2000000000000001E-2</v>
      </c>
      <c r="S253">
        <v>-5.2999999999999999E-2</v>
      </c>
      <c r="V253">
        <v>-3.9E-2</v>
      </c>
      <c r="W253">
        <v>2.1999999999999999E-2</v>
      </c>
      <c r="X253">
        <v>-5.2999999999999999E-2</v>
      </c>
      <c r="Y253">
        <v>7.4999999999999997E-2</v>
      </c>
      <c r="Z253">
        <v>0.83</v>
      </c>
      <c r="AA253">
        <v>0.77</v>
      </c>
      <c r="AB253" t="s">
        <v>544</v>
      </c>
      <c r="AC253" t="s">
        <v>64</v>
      </c>
    </row>
    <row r="254" spans="1:29" x14ac:dyDescent="0.25">
      <c r="A254" t="s">
        <v>545</v>
      </c>
      <c r="B254" t="s">
        <v>143</v>
      </c>
      <c r="C254" s="1">
        <v>46058.875</v>
      </c>
      <c r="D254" s="2">
        <v>46058</v>
      </c>
      <c r="E254" t="s">
        <v>31</v>
      </c>
      <c r="G254" t="s">
        <v>40</v>
      </c>
      <c r="H254">
        <v>26.05</v>
      </c>
      <c r="I254">
        <v>1.8</v>
      </c>
      <c r="J254">
        <v>0.36</v>
      </c>
      <c r="K254">
        <v>0.38</v>
      </c>
      <c r="L254">
        <v>3.7</v>
      </c>
      <c r="M254">
        <v>14.68</v>
      </c>
      <c r="N254">
        <v>16.96</v>
      </c>
      <c r="O254">
        <v>4980000000</v>
      </c>
      <c r="P254">
        <v>0.9</v>
      </c>
      <c r="Q254">
        <v>0.03</v>
      </c>
      <c r="R254">
        <v>2.3E-2</v>
      </c>
      <c r="S254">
        <v>-3.0000000000000001E-3</v>
      </c>
      <c r="V254">
        <v>2.8000000000000001E-2</v>
      </c>
      <c r="W254">
        <v>0.04</v>
      </c>
      <c r="X254">
        <v>-3.0000000000000001E-3</v>
      </c>
      <c r="Y254">
        <v>4.2999999999999997E-2</v>
      </c>
      <c r="Z254">
        <v>27.11</v>
      </c>
      <c r="AA254">
        <v>25.98</v>
      </c>
      <c r="AB254" t="s">
        <v>546</v>
      </c>
      <c r="AC254" t="s">
        <v>34</v>
      </c>
    </row>
    <row r="255" spans="1:29" x14ac:dyDescent="0.25">
      <c r="A255" t="s">
        <v>547</v>
      </c>
      <c r="B255" t="s">
        <v>143</v>
      </c>
      <c r="C255" s="1">
        <v>46059.5625</v>
      </c>
      <c r="D255" s="2">
        <v>46059</v>
      </c>
      <c r="E255" t="s">
        <v>31</v>
      </c>
      <c r="G255" t="s">
        <v>32</v>
      </c>
      <c r="H255">
        <v>113.87</v>
      </c>
      <c r="I255">
        <v>3.63</v>
      </c>
      <c r="J255">
        <v>0.9</v>
      </c>
      <c r="K255">
        <v>0.9</v>
      </c>
      <c r="L255">
        <v>0.31</v>
      </c>
      <c r="M255">
        <v>32.909999999999997</v>
      </c>
      <c r="N255">
        <v>29.31</v>
      </c>
      <c r="O255">
        <v>19270000000</v>
      </c>
      <c r="P255">
        <v>1.3</v>
      </c>
      <c r="Q255">
        <v>7.0000000000000001E-3</v>
      </c>
      <c r="R255">
        <v>-0.01</v>
      </c>
      <c r="S255">
        <v>-5.0000000000000001E-3</v>
      </c>
      <c r="V255">
        <v>-5.0000000000000001E-3</v>
      </c>
      <c r="W255">
        <v>7.0000000000000001E-3</v>
      </c>
      <c r="X255">
        <v>-1.7000000000000001E-2</v>
      </c>
      <c r="Y255">
        <v>2.4E-2</v>
      </c>
      <c r="Z255">
        <v>114.62</v>
      </c>
      <c r="AA255">
        <v>111.9</v>
      </c>
      <c r="AB255" t="s">
        <v>548</v>
      </c>
      <c r="AC255" t="s">
        <v>38</v>
      </c>
    </row>
    <row r="256" spans="1:29" x14ac:dyDescent="0.25">
      <c r="A256" t="s">
        <v>549</v>
      </c>
      <c r="B256" t="s">
        <v>143</v>
      </c>
      <c r="C256" s="1">
        <v>46062.875</v>
      </c>
      <c r="D256" s="2">
        <v>46062</v>
      </c>
      <c r="E256" t="s">
        <v>31</v>
      </c>
      <c r="F256" s="1">
        <v>46062.292210648149</v>
      </c>
      <c r="G256" t="s">
        <v>40</v>
      </c>
      <c r="H256">
        <v>96.06</v>
      </c>
      <c r="I256">
        <v>10.69</v>
      </c>
      <c r="J256">
        <v>2.57</v>
      </c>
      <c r="K256">
        <v>2.98</v>
      </c>
      <c r="L256">
        <v>15.83</v>
      </c>
      <c r="M256">
        <v>9.4499999999999993</v>
      </c>
      <c r="N256">
        <v>10.71</v>
      </c>
      <c r="O256">
        <v>36610000000</v>
      </c>
      <c r="P256">
        <v>0.4</v>
      </c>
      <c r="Q256">
        <v>1.9E-2</v>
      </c>
      <c r="R256">
        <v>3.9E-2</v>
      </c>
      <c r="V256">
        <v>2.4E-2</v>
      </c>
      <c r="W256">
        <v>3.9E-2</v>
      </c>
      <c r="X256">
        <v>1.9E-2</v>
      </c>
      <c r="Y256">
        <v>2.1000000000000001E-2</v>
      </c>
      <c r="Z256">
        <v>99.85</v>
      </c>
      <c r="AA256">
        <v>97.85</v>
      </c>
      <c r="AB256" t="s">
        <v>550</v>
      </c>
      <c r="AC256" t="s">
        <v>94</v>
      </c>
    </row>
    <row r="257" spans="1:29" x14ac:dyDescent="0.25">
      <c r="A257" t="s">
        <v>551</v>
      </c>
      <c r="B257" t="s">
        <v>88</v>
      </c>
      <c r="C257" s="1">
        <v>46062.875</v>
      </c>
      <c r="D257" s="2">
        <v>46062</v>
      </c>
      <c r="E257" t="s">
        <v>31</v>
      </c>
      <c r="F257" s="1">
        <v>46062.292395833334</v>
      </c>
      <c r="G257" t="s">
        <v>40</v>
      </c>
      <c r="H257">
        <v>5.84</v>
      </c>
      <c r="I257">
        <v>0.09</v>
      </c>
      <c r="J257">
        <v>-7.0000000000000007E-2</v>
      </c>
      <c r="K257">
        <v>-0.05</v>
      </c>
      <c r="L257">
        <v>23.71</v>
      </c>
      <c r="M257">
        <v>62.85</v>
      </c>
      <c r="O257">
        <v>85070000</v>
      </c>
      <c r="P257">
        <v>1.6</v>
      </c>
      <c r="Q257">
        <v>-4.8000000000000001E-2</v>
      </c>
      <c r="R257">
        <v>-2.1000000000000001E-2</v>
      </c>
      <c r="V257">
        <v>-4.8000000000000001E-2</v>
      </c>
      <c r="W257">
        <v>-2.1000000000000001E-2</v>
      </c>
      <c r="X257">
        <v>-0.05</v>
      </c>
      <c r="Y257">
        <v>2.9000000000000001E-2</v>
      </c>
      <c r="Z257">
        <v>5.72</v>
      </c>
      <c r="AA257">
        <v>5.55</v>
      </c>
      <c r="AB257" t="s">
        <v>552</v>
      </c>
      <c r="AC257" t="s">
        <v>38</v>
      </c>
    </row>
    <row r="258" spans="1:29" x14ac:dyDescent="0.25">
      <c r="A258" t="s">
        <v>553</v>
      </c>
      <c r="B258" t="s">
        <v>143</v>
      </c>
      <c r="C258" s="1">
        <v>46063.5625</v>
      </c>
      <c r="D258" s="2">
        <v>46063</v>
      </c>
      <c r="E258" t="s">
        <v>31</v>
      </c>
      <c r="G258" t="s">
        <v>32</v>
      </c>
      <c r="H258">
        <v>120.69</v>
      </c>
      <c r="I258">
        <v>6.36</v>
      </c>
      <c r="J258">
        <v>1.49</v>
      </c>
      <c r="K258">
        <v>1.5</v>
      </c>
      <c r="L258">
        <v>0.49</v>
      </c>
      <c r="M258">
        <v>19.14</v>
      </c>
      <c r="N258">
        <v>18.16</v>
      </c>
      <c r="O258">
        <v>94660000000</v>
      </c>
      <c r="P258">
        <v>0.51</v>
      </c>
      <c r="Q258">
        <v>2.9000000000000001E-2</v>
      </c>
      <c r="R258">
        <v>6.2E-2</v>
      </c>
      <c r="V258">
        <v>6.2E-2</v>
      </c>
      <c r="W258">
        <v>6.2E-2</v>
      </c>
      <c r="X258">
        <v>2.9000000000000001E-2</v>
      </c>
      <c r="Y258">
        <v>3.4000000000000002E-2</v>
      </c>
      <c r="Z258">
        <v>128.19999999999999</v>
      </c>
      <c r="AA258">
        <v>124.14</v>
      </c>
      <c r="AB258" t="s">
        <v>554</v>
      </c>
      <c r="AC258" t="s">
        <v>59</v>
      </c>
    </row>
    <row r="259" spans="1:29" x14ac:dyDescent="0.25">
      <c r="A259" t="s">
        <v>555</v>
      </c>
      <c r="B259" t="s">
        <v>143</v>
      </c>
      <c r="C259" s="1">
        <v>46063.5625</v>
      </c>
      <c r="D259" s="2">
        <v>46063</v>
      </c>
      <c r="E259" t="s">
        <v>31</v>
      </c>
      <c r="G259" t="s">
        <v>32</v>
      </c>
      <c r="H259">
        <v>191.25</v>
      </c>
      <c r="I259">
        <v>8.52</v>
      </c>
      <c r="J259">
        <v>2.04</v>
      </c>
      <c r="K259">
        <v>2.1800000000000002</v>
      </c>
      <c r="L259">
        <v>6.95</v>
      </c>
      <c r="M259">
        <v>22.44</v>
      </c>
      <c r="N259">
        <v>18.399999999999999</v>
      </c>
      <c r="O259">
        <v>21280000000</v>
      </c>
      <c r="P259">
        <v>0.67</v>
      </c>
      <c r="Q259">
        <v>9.4E-2</v>
      </c>
      <c r="R259">
        <v>8.2000000000000003E-2</v>
      </c>
      <c r="V259">
        <v>8.2000000000000003E-2</v>
      </c>
      <c r="W259">
        <v>9.4E-2</v>
      </c>
      <c r="X259">
        <v>8.2000000000000003E-2</v>
      </c>
      <c r="Y259">
        <v>1.2999999999999999E-2</v>
      </c>
      <c r="Z259">
        <v>209.32</v>
      </c>
      <c r="AA259">
        <v>206.86</v>
      </c>
      <c r="AB259" t="s">
        <v>556</v>
      </c>
      <c r="AC259" t="s">
        <v>47</v>
      </c>
    </row>
    <row r="260" spans="1:29" x14ac:dyDescent="0.25">
      <c r="A260" t="s">
        <v>557</v>
      </c>
      <c r="B260" t="s">
        <v>143</v>
      </c>
      <c r="C260" s="1">
        <v>46063.5625</v>
      </c>
      <c r="D260" s="2">
        <v>46063</v>
      </c>
      <c r="E260" t="s">
        <v>31</v>
      </c>
      <c r="F260" s="1">
        <v>46062.292650462965</v>
      </c>
      <c r="G260" t="s">
        <v>32</v>
      </c>
      <c r="H260">
        <v>140.19</v>
      </c>
      <c r="I260">
        <v>3.89</v>
      </c>
      <c r="J260">
        <v>1.1299999999999999</v>
      </c>
      <c r="K260">
        <v>1.37</v>
      </c>
      <c r="L260">
        <v>20.78</v>
      </c>
      <c r="M260">
        <v>36.56</v>
      </c>
      <c r="N260">
        <v>25.56</v>
      </c>
      <c r="O260">
        <v>34600000000</v>
      </c>
      <c r="P260">
        <v>1.1599999999999999</v>
      </c>
      <c r="Q260">
        <v>-9.6000000000000002E-2</v>
      </c>
      <c r="R260">
        <v>-8.5999999999999993E-2</v>
      </c>
      <c r="V260">
        <v>-8.5999999999999993E-2</v>
      </c>
      <c r="W260">
        <v>-8.5999999999999993E-2</v>
      </c>
      <c r="X260">
        <v>-0.10100000000000001</v>
      </c>
      <c r="Y260">
        <v>1.4E-2</v>
      </c>
      <c r="Z260">
        <v>128.09</v>
      </c>
      <c r="AA260">
        <v>126.1</v>
      </c>
      <c r="AB260" t="s">
        <v>558</v>
      </c>
      <c r="AC260" t="s">
        <v>38</v>
      </c>
    </row>
    <row r="261" spans="1:29" x14ac:dyDescent="0.25">
      <c r="A261" t="s">
        <v>559</v>
      </c>
      <c r="B261" t="s">
        <v>143</v>
      </c>
      <c r="C261" s="1">
        <v>46063.5625</v>
      </c>
      <c r="D261" s="2">
        <v>46063</v>
      </c>
      <c r="E261" t="s">
        <v>31</v>
      </c>
      <c r="F261" s="1">
        <v>46062.292337962965</v>
      </c>
      <c r="G261" t="s">
        <v>32</v>
      </c>
      <c r="H261">
        <v>39.22</v>
      </c>
      <c r="I261">
        <v>0.59</v>
      </c>
      <c r="J261">
        <v>0.59</v>
      </c>
      <c r="K261">
        <v>-1.33</v>
      </c>
      <c r="L261">
        <v>-325.42</v>
      </c>
      <c r="M261">
        <v>66.48</v>
      </c>
      <c r="N261">
        <v>14.53</v>
      </c>
      <c r="O261">
        <v>100210000000</v>
      </c>
      <c r="P261">
        <v>0.3</v>
      </c>
      <c r="Q261">
        <v>-1.7000000000000001E-2</v>
      </c>
      <c r="R261">
        <v>-0.04</v>
      </c>
      <c r="V261">
        <v>-0.04</v>
      </c>
      <c r="W261">
        <v>-1.7000000000000001E-2</v>
      </c>
      <c r="X261">
        <v>-5.1999999999999998E-2</v>
      </c>
      <c r="Y261">
        <v>3.5000000000000003E-2</v>
      </c>
      <c r="Z261">
        <v>38.549999999999997</v>
      </c>
      <c r="AA261">
        <v>37.19</v>
      </c>
      <c r="AB261" t="s">
        <v>560</v>
      </c>
      <c r="AC261" t="s">
        <v>34</v>
      </c>
    </row>
    <row r="262" spans="1:29" x14ac:dyDescent="0.25">
      <c r="A262" t="s">
        <v>561</v>
      </c>
      <c r="B262" t="s">
        <v>143</v>
      </c>
      <c r="C262" s="1">
        <v>46063.5625</v>
      </c>
      <c r="D262" s="2">
        <v>46063</v>
      </c>
      <c r="E262" t="s">
        <v>31</v>
      </c>
      <c r="G262" t="s">
        <v>32</v>
      </c>
      <c r="H262">
        <v>77.97</v>
      </c>
      <c r="I262">
        <v>3.02</v>
      </c>
      <c r="J262">
        <v>0.56000000000000005</v>
      </c>
      <c r="K262">
        <v>0.57999999999999996</v>
      </c>
      <c r="L262">
        <v>2.69</v>
      </c>
      <c r="M262">
        <v>25.81</v>
      </c>
      <c r="N262">
        <v>24.22</v>
      </c>
      <c r="O262">
        <v>335400000000</v>
      </c>
      <c r="P262">
        <v>0.36</v>
      </c>
      <c r="Q262">
        <v>8.0000000000000002E-3</v>
      </c>
      <c r="R262">
        <v>8.9999999999999993E-3</v>
      </c>
      <c r="V262">
        <v>8.9999999999999993E-3</v>
      </c>
      <c r="W262">
        <v>1.2999999999999999E-2</v>
      </c>
      <c r="X262">
        <v>8.0000000000000002E-3</v>
      </c>
      <c r="Y262">
        <v>5.0000000000000001E-3</v>
      </c>
      <c r="Z262">
        <v>79</v>
      </c>
      <c r="AA262">
        <v>78.599999999999994</v>
      </c>
      <c r="AB262" t="s">
        <v>562</v>
      </c>
      <c r="AC262" t="s">
        <v>279</v>
      </c>
    </row>
    <row r="263" spans="1:29" x14ac:dyDescent="0.25">
      <c r="A263" t="s">
        <v>563</v>
      </c>
      <c r="B263" t="s">
        <v>143</v>
      </c>
      <c r="C263" s="1">
        <v>46063.875</v>
      </c>
      <c r="D263" s="2">
        <v>46063</v>
      </c>
      <c r="E263" t="s">
        <v>31</v>
      </c>
      <c r="G263" t="s">
        <v>40</v>
      </c>
      <c r="H263">
        <v>10.71</v>
      </c>
      <c r="I263">
        <v>0.89</v>
      </c>
      <c r="J263">
        <v>0.24</v>
      </c>
      <c r="K263">
        <v>0.32</v>
      </c>
      <c r="L263">
        <v>32.57</v>
      </c>
      <c r="M263">
        <v>12.07</v>
      </c>
      <c r="N263">
        <v>11.58</v>
      </c>
      <c r="O263">
        <v>1490000000</v>
      </c>
      <c r="P263">
        <v>1.58</v>
      </c>
      <c r="Q263">
        <v>-3.0000000000000001E-3</v>
      </c>
      <c r="R263">
        <v>-8.0000000000000002E-3</v>
      </c>
      <c r="V263">
        <v>-8.0000000000000002E-3</v>
      </c>
      <c r="W263">
        <v>-3.0000000000000001E-3</v>
      </c>
      <c r="X263">
        <v>-1.4E-2</v>
      </c>
      <c r="Y263">
        <v>1.0999999999999999E-2</v>
      </c>
      <c r="Z263">
        <v>10.68</v>
      </c>
      <c r="AA263">
        <v>10.56</v>
      </c>
      <c r="AB263" t="s">
        <v>564</v>
      </c>
      <c r="AC263" t="s">
        <v>52</v>
      </c>
    </row>
    <row r="264" spans="1:29" x14ac:dyDescent="0.25">
      <c r="A264" t="s">
        <v>565</v>
      </c>
      <c r="B264" t="s">
        <v>143</v>
      </c>
      <c r="C264" s="1">
        <v>46063.875</v>
      </c>
      <c r="D264" s="2">
        <v>46063</v>
      </c>
      <c r="E264" t="s">
        <v>31</v>
      </c>
      <c r="F264" s="1">
        <v>46063.29314814815</v>
      </c>
      <c r="G264" t="s">
        <v>40</v>
      </c>
      <c r="H264">
        <v>25.22</v>
      </c>
      <c r="I264">
        <v>1.47</v>
      </c>
      <c r="J264">
        <v>0.42</v>
      </c>
      <c r="K264">
        <v>0.54</v>
      </c>
      <c r="L264">
        <v>26.81</v>
      </c>
      <c r="M264">
        <v>17.25</v>
      </c>
      <c r="N264">
        <v>14.54</v>
      </c>
      <c r="O264">
        <v>12020000000</v>
      </c>
      <c r="P264">
        <v>0.47</v>
      </c>
      <c r="Q264">
        <v>7.4999999999999997E-2</v>
      </c>
      <c r="R264">
        <v>3.5999999999999997E-2</v>
      </c>
      <c r="V264">
        <v>3.5999999999999997E-2</v>
      </c>
      <c r="W264">
        <v>7.6999999999999999E-2</v>
      </c>
      <c r="X264">
        <v>3.5999999999999997E-2</v>
      </c>
      <c r="Y264">
        <v>4.1000000000000002E-2</v>
      </c>
      <c r="Z264">
        <v>27.15</v>
      </c>
      <c r="AA264">
        <v>26.12</v>
      </c>
      <c r="AB264" t="s">
        <v>566</v>
      </c>
      <c r="AC264" t="s">
        <v>129</v>
      </c>
    </row>
    <row r="265" spans="1:29" x14ac:dyDescent="0.25">
      <c r="A265" t="s">
        <v>567</v>
      </c>
      <c r="B265" t="s">
        <v>143</v>
      </c>
      <c r="C265" s="1">
        <v>46063.875</v>
      </c>
      <c r="D265" s="2">
        <v>46063</v>
      </c>
      <c r="E265" t="s">
        <v>31</v>
      </c>
      <c r="F265" s="1">
        <v>46062.292557870373</v>
      </c>
      <c r="G265" t="s">
        <v>40</v>
      </c>
      <c r="H265">
        <v>19.28</v>
      </c>
      <c r="I265">
        <v>0</v>
      </c>
      <c r="J265">
        <v>0.06</v>
      </c>
      <c r="K265">
        <v>0.02</v>
      </c>
      <c r="L265">
        <v>-67.44</v>
      </c>
      <c r="M265">
        <v>11370.59</v>
      </c>
      <c r="N265">
        <v>57.23</v>
      </c>
      <c r="O265">
        <v>1620000000</v>
      </c>
      <c r="P265">
        <v>0.87</v>
      </c>
      <c r="Q265">
        <v>-1E-3</v>
      </c>
      <c r="R265">
        <v>4.8000000000000001E-2</v>
      </c>
      <c r="V265">
        <v>4.8000000000000001E-2</v>
      </c>
      <c r="W265">
        <v>4.8000000000000001E-2</v>
      </c>
      <c r="X265">
        <v>-1E-3</v>
      </c>
      <c r="Y265">
        <v>4.9000000000000002E-2</v>
      </c>
      <c r="Z265">
        <v>20.2</v>
      </c>
      <c r="AA265">
        <v>19.260000000000002</v>
      </c>
      <c r="AB265" t="s">
        <v>568</v>
      </c>
      <c r="AC265" t="s">
        <v>52</v>
      </c>
    </row>
    <row r="266" spans="1:29" x14ac:dyDescent="0.25">
      <c r="A266" t="s">
        <v>569</v>
      </c>
      <c r="B266" t="s">
        <v>143</v>
      </c>
      <c r="C266" s="1">
        <v>46063.875</v>
      </c>
      <c r="D266" s="2">
        <v>46063</v>
      </c>
      <c r="E266" t="s">
        <v>31</v>
      </c>
      <c r="F266" s="1">
        <v>46063.292754629627</v>
      </c>
      <c r="G266" t="s">
        <v>40</v>
      </c>
      <c r="H266">
        <v>76.510000000000005</v>
      </c>
      <c r="I266">
        <v>1.71</v>
      </c>
      <c r="J266">
        <v>0.47</v>
      </c>
      <c r="K266">
        <v>0.47</v>
      </c>
      <c r="L266">
        <v>-0.14000000000000001</v>
      </c>
      <c r="M266">
        <v>44.05</v>
      </c>
      <c r="N266">
        <v>38.54</v>
      </c>
      <c r="O266">
        <v>8650000000</v>
      </c>
      <c r="P266">
        <v>0.53</v>
      </c>
      <c r="Q266">
        <v>3.0000000000000001E-3</v>
      </c>
      <c r="R266">
        <v>2.1000000000000001E-2</v>
      </c>
      <c r="V266">
        <v>2.1000000000000001E-2</v>
      </c>
      <c r="W266">
        <v>2.1000000000000001E-2</v>
      </c>
      <c r="X266">
        <v>1E-3</v>
      </c>
      <c r="Y266">
        <v>0.02</v>
      </c>
      <c r="Z266">
        <v>78.08</v>
      </c>
      <c r="AA266">
        <v>76.58</v>
      </c>
      <c r="AB266" t="s">
        <v>570</v>
      </c>
      <c r="AC266" t="s">
        <v>52</v>
      </c>
    </row>
    <row r="267" spans="1:29" x14ac:dyDescent="0.25">
      <c r="A267" t="s">
        <v>571</v>
      </c>
      <c r="B267" t="s">
        <v>143</v>
      </c>
      <c r="C267" s="1">
        <v>46064.5625</v>
      </c>
      <c r="E267" t="s">
        <v>31</v>
      </c>
      <c r="F267" s="1">
        <v>46064.688217592593</v>
      </c>
      <c r="G267" t="s">
        <v>32</v>
      </c>
      <c r="H267">
        <v>21.04</v>
      </c>
      <c r="I267">
        <v>0.88</v>
      </c>
      <c r="M267">
        <v>23.6</v>
      </c>
      <c r="N267">
        <v>40.200000000000003</v>
      </c>
      <c r="O267">
        <v>2740000000</v>
      </c>
      <c r="P267">
        <v>1.04</v>
      </c>
      <c r="Q267">
        <v>-1.7999999999999999E-2</v>
      </c>
      <c r="V267">
        <v>-1.2999999999999999E-2</v>
      </c>
      <c r="W267">
        <v>-1.2999999999999999E-2</v>
      </c>
      <c r="X267">
        <v>-1.7999999999999999E-2</v>
      </c>
      <c r="Y267">
        <v>5.0000000000000001E-3</v>
      </c>
      <c r="Z267">
        <v>20.77</v>
      </c>
      <c r="AA267">
        <v>20.67</v>
      </c>
      <c r="AB267" t="s">
        <v>572</v>
      </c>
      <c r="AC267" t="s">
        <v>52</v>
      </c>
    </row>
    <row r="268" spans="1:29" x14ac:dyDescent="0.25">
      <c r="A268" t="s">
        <v>573</v>
      </c>
      <c r="B268" t="s">
        <v>143</v>
      </c>
      <c r="C268" s="1">
        <v>46064.5625</v>
      </c>
      <c r="E268" t="s">
        <v>31</v>
      </c>
      <c r="F268" s="1">
        <v>46064.688055555554</v>
      </c>
      <c r="G268" t="s">
        <v>32</v>
      </c>
      <c r="H268">
        <v>19.239999999999998</v>
      </c>
      <c r="I268">
        <v>0.54</v>
      </c>
      <c r="M268">
        <v>41.23</v>
      </c>
      <c r="N268">
        <v>19.27</v>
      </c>
      <c r="O268">
        <v>1570000000</v>
      </c>
      <c r="P268">
        <v>0.77</v>
      </c>
      <c r="Q268">
        <v>0.109</v>
      </c>
      <c r="V268">
        <v>0.122</v>
      </c>
      <c r="W268">
        <v>0.122</v>
      </c>
      <c r="X268">
        <v>0.109</v>
      </c>
      <c r="Y268">
        <v>1.2999999999999999E-2</v>
      </c>
      <c r="Z268">
        <v>21.59</v>
      </c>
      <c r="AA268">
        <v>21.34</v>
      </c>
      <c r="AB268" t="s">
        <v>574</v>
      </c>
      <c r="AC268" t="s">
        <v>47</v>
      </c>
    </row>
    <row r="269" spans="1:29" x14ac:dyDescent="0.25">
      <c r="A269" t="s">
        <v>575</v>
      </c>
      <c r="B269" t="s">
        <v>143</v>
      </c>
      <c r="C269" s="1">
        <v>46064.875</v>
      </c>
      <c r="D269" s="2">
        <v>46064</v>
      </c>
      <c r="E269" t="s">
        <v>31</v>
      </c>
      <c r="G269" t="s">
        <v>40</v>
      </c>
      <c r="H269">
        <v>31.55</v>
      </c>
      <c r="I269">
        <v>1.24</v>
      </c>
      <c r="M269">
        <v>25.43</v>
      </c>
      <c r="N269">
        <v>22.97</v>
      </c>
      <c r="O269">
        <v>6270000000</v>
      </c>
      <c r="P269">
        <v>0.99</v>
      </c>
      <c r="Q269">
        <v>3.0000000000000001E-3</v>
      </c>
      <c r="V269">
        <v>1.7000000000000001E-2</v>
      </c>
      <c r="W269">
        <v>1.7000000000000001E-2</v>
      </c>
      <c r="X269">
        <v>3.0000000000000001E-3</v>
      </c>
      <c r="Y269">
        <v>1.4E-2</v>
      </c>
      <c r="Z269">
        <v>32.090000000000003</v>
      </c>
      <c r="AA269">
        <v>31.65</v>
      </c>
      <c r="AB269" t="s">
        <v>576</v>
      </c>
      <c r="AC269" t="s">
        <v>52</v>
      </c>
    </row>
    <row r="270" spans="1:29" x14ac:dyDescent="0.25">
      <c r="A270" t="s">
        <v>577</v>
      </c>
      <c r="B270" t="s">
        <v>143</v>
      </c>
      <c r="C270" s="1">
        <v>46064.875</v>
      </c>
      <c r="D270" s="2">
        <v>46064</v>
      </c>
      <c r="E270" t="s">
        <v>31</v>
      </c>
      <c r="G270" t="s">
        <v>40</v>
      </c>
      <c r="H270">
        <v>39.229999999999997</v>
      </c>
      <c r="I270">
        <v>1.29</v>
      </c>
      <c r="M270">
        <v>30.31</v>
      </c>
      <c r="N270">
        <v>38.08</v>
      </c>
      <c r="O270">
        <v>7330000000</v>
      </c>
      <c r="P270">
        <v>1.05</v>
      </c>
      <c r="Q270">
        <v>-0.05</v>
      </c>
      <c r="V270">
        <v>-0.03</v>
      </c>
      <c r="W270">
        <v>-0.03</v>
      </c>
      <c r="X270">
        <v>-0.05</v>
      </c>
      <c r="Y270">
        <v>0.02</v>
      </c>
      <c r="Z270">
        <v>38.06</v>
      </c>
      <c r="AA270">
        <v>37.28</v>
      </c>
      <c r="AB270" t="s">
        <v>578</v>
      </c>
      <c r="AC270" t="s">
        <v>52</v>
      </c>
    </row>
    <row r="271" spans="1:29" x14ac:dyDescent="0.25">
      <c r="A271" t="s">
        <v>579</v>
      </c>
      <c r="B271" t="s">
        <v>36</v>
      </c>
      <c r="C271" s="1">
        <v>46064.875</v>
      </c>
      <c r="D271" s="2">
        <v>46064</v>
      </c>
      <c r="E271" t="s">
        <v>31</v>
      </c>
      <c r="G271" t="s">
        <v>40</v>
      </c>
      <c r="H271">
        <v>85.54</v>
      </c>
      <c r="I271">
        <v>2.65</v>
      </c>
      <c r="M271">
        <v>32.22</v>
      </c>
      <c r="N271">
        <v>19.05</v>
      </c>
      <c r="O271">
        <v>337580000000</v>
      </c>
      <c r="P271">
        <v>0.86</v>
      </c>
      <c r="Q271">
        <v>-0.123</v>
      </c>
      <c r="V271">
        <v>-0.10199999999999999</v>
      </c>
      <c r="W271">
        <v>-0.10199999999999999</v>
      </c>
      <c r="X271">
        <v>-0.123</v>
      </c>
      <c r="Y271">
        <v>2.1999999999999999E-2</v>
      </c>
      <c r="Z271">
        <v>76.849999999999994</v>
      </c>
      <c r="AA271">
        <v>75</v>
      </c>
      <c r="AB271" t="s">
        <v>580</v>
      </c>
      <c r="AC271" t="s">
        <v>42</v>
      </c>
    </row>
    <row r="272" spans="1:29" x14ac:dyDescent="0.25">
      <c r="A272" t="s">
        <v>581</v>
      </c>
      <c r="B272" t="s">
        <v>143</v>
      </c>
      <c r="C272" s="1">
        <v>46064.875</v>
      </c>
      <c r="D272" s="2">
        <v>46064</v>
      </c>
      <c r="E272" t="s">
        <v>31</v>
      </c>
      <c r="G272" t="s">
        <v>40</v>
      </c>
      <c r="H272">
        <v>20.440000000000001</v>
      </c>
      <c r="I272">
        <v>0.98</v>
      </c>
      <c r="M272">
        <v>20.23</v>
      </c>
      <c r="N272">
        <v>16.98</v>
      </c>
      <c r="O272">
        <v>9400000000</v>
      </c>
      <c r="P272">
        <v>0.77</v>
      </c>
      <c r="Q272">
        <v>2.3E-2</v>
      </c>
      <c r="V272">
        <v>4.9000000000000002E-2</v>
      </c>
      <c r="W272">
        <v>4.9000000000000002E-2</v>
      </c>
      <c r="X272">
        <v>2.3E-2</v>
      </c>
      <c r="Y272">
        <v>2.5999999999999999E-2</v>
      </c>
      <c r="Z272">
        <v>21.45</v>
      </c>
      <c r="AA272">
        <v>20.91</v>
      </c>
      <c r="AB272" t="s">
        <v>582</v>
      </c>
      <c r="AC272" t="s">
        <v>34</v>
      </c>
    </row>
    <row r="273" spans="1:29" x14ac:dyDescent="0.25">
      <c r="A273" t="s">
        <v>583</v>
      </c>
      <c r="B273" t="s">
        <v>143</v>
      </c>
      <c r="C273" s="1">
        <v>46064.875</v>
      </c>
      <c r="D273" s="2">
        <v>46064</v>
      </c>
      <c r="E273" t="s">
        <v>31</v>
      </c>
      <c r="G273" t="s">
        <v>40</v>
      </c>
      <c r="H273">
        <v>8.48</v>
      </c>
      <c r="I273">
        <v>-0.56999999999999995</v>
      </c>
      <c r="O273">
        <v>1060000000</v>
      </c>
      <c r="P273">
        <v>1.26</v>
      </c>
      <c r="Q273">
        <v>-7.8E-2</v>
      </c>
      <c r="V273">
        <v>-2.7E-2</v>
      </c>
      <c r="W273">
        <v>-2.7E-2</v>
      </c>
      <c r="X273">
        <v>-7.8E-2</v>
      </c>
      <c r="Y273">
        <v>5.0999999999999997E-2</v>
      </c>
      <c r="Z273">
        <v>8.25</v>
      </c>
      <c r="AA273">
        <v>7.82</v>
      </c>
      <c r="AB273" t="s">
        <v>584</v>
      </c>
      <c r="AC273" t="s">
        <v>52</v>
      </c>
    </row>
    <row r="274" spans="1:29" x14ac:dyDescent="0.25">
      <c r="A274" t="s">
        <v>585</v>
      </c>
      <c r="B274" t="s">
        <v>143</v>
      </c>
      <c r="C274" s="1">
        <v>46064.875</v>
      </c>
      <c r="D274" s="2">
        <v>46064</v>
      </c>
      <c r="E274" t="s">
        <v>31</v>
      </c>
      <c r="G274" t="s">
        <v>40</v>
      </c>
      <c r="H274">
        <v>106.02</v>
      </c>
      <c r="I274">
        <v>5.2</v>
      </c>
      <c r="M274">
        <v>20.059999999999999</v>
      </c>
      <c r="N274">
        <v>19.45</v>
      </c>
      <c r="O274">
        <v>28200000000</v>
      </c>
      <c r="P274">
        <v>0.59</v>
      </c>
      <c r="Q274">
        <v>3.1E-2</v>
      </c>
      <c r="V274">
        <v>4.7E-2</v>
      </c>
      <c r="W274">
        <v>4.7E-2</v>
      </c>
      <c r="X274">
        <v>3.1E-2</v>
      </c>
      <c r="Y274">
        <v>1.4999999999999999E-2</v>
      </c>
      <c r="Z274">
        <v>110.97</v>
      </c>
      <c r="AA274">
        <v>109.34</v>
      </c>
      <c r="AB274" t="s">
        <v>586</v>
      </c>
      <c r="AC274" t="s">
        <v>59</v>
      </c>
    </row>
    <row r="275" spans="1:29" x14ac:dyDescent="0.25">
      <c r="A275" t="s">
        <v>587</v>
      </c>
      <c r="B275" t="s">
        <v>143</v>
      </c>
      <c r="C275" s="1">
        <v>46064.875</v>
      </c>
      <c r="D275" s="2">
        <v>46064</v>
      </c>
      <c r="E275" t="s">
        <v>31</v>
      </c>
      <c r="G275" t="s">
        <v>40</v>
      </c>
      <c r="H275">
        <v>64.34</v>
      </c>
      <c r="I275">
        <v>4.6500000000000004</v>
      </c>
      <c r="M275">
        <v>13.83</v>
      </c>
      <c r="N275">
        <v>10.82</v>
      </c>
      <c r="O275">
        <v>6560000000</v>
      </c>
      <c r="P275">
        <v>1.29</v>
      </c>
      <c r="Q275">
        <v>2.8000000000000001E-2</v>
      </c>
      <c r="V275">
        <v>4.4999999999999998E-2</v>
      </c>
      <c r="W275">
        <v>4.4999999999999998E-2</v>
      </c>
      <c r="X275">
        <v>2.8000000000000001E-2</v>
      </c>
      <c r="Y275">
        <v>1.7000000000000001E-2</v>
      </c>
      <c r="Z275">
        <v>67.22</v>
      </c>
      <c r="AA275">
        <v>66.14</v>
      </c>
      <c r="AB275" t="s">
        <v>588</v>
      </c>
      <c r="AC275" t="s">
        <v>94</v>
      </c>
    </row>
    <row r="276" spans="1:29" x14ac:dyDescent="0.25">
      <c r="A276" t="s">
        <v>589</v>
      </c>
      <c r="B276" t="s">
        <v>143</v>
      </c>
      <c r="C276" s="1">
        <v>46064.875</v>
      </c>
      <c r="D276" s="2">
        <v>46064</v>
      </c>
      <c r="E276" t="s">
        <v>31</v>
      </c>
      <c r="G276" t="s">
        <v>40</v>
      </c>
      <c r="H276">
        <v>323.20999999999998</v>
      </c>
      <c r="I276">
        <v>11.73</v>
      </c>
      <c r="M276">
        <v>27.57</v>
      </c>
      <c r="N276">
        <v>24.32</v>
      </c>
      <c r="O276">
        <v>230180000000</v>
      </c>
      <c r="P276">
        <v>0.53</v>
      </c>
      <c r="Q276">
        <v>2.7E-2</v>
      </c>
      <c r="V276">
        <v>1.4E-2</v>
      </c>
      <c r="W276">
        <v>2.7E-2</v>
      </c>
      <c r="X276">
        <v>1.4E-2</v>
      </c>
      <c r="Y276">
        <v>1.4E-2</v>
      </c>
      <c r="Z276">
        <v>332.08</v>
      </c>
      <c r="AA276">
        <v>327.58</v>
      </c>
      <c r="AB276" t="s">
        <v>590</v>
      </c>
      <c r="AC276" t="s">
        <v>64</v>
      </c>
    </row>
    <row r="277" spans="1:29" x14ac:dyDescent="0.25">
      <c r="A277" t="s">
        <v>591</v>
      </c>
      <c r="B277" t="s">
        <v>143</v>
      </c>
      <c r="C277" s="1">
        <v>46065.5625</v>
      </c>
      <c r="D277" s="2">
        <v>46065</v>
      </c>
      <c r="E277" t="s">
        <v>31</v>
      </c>
      <c r="G277" t="s">
        <v>32</v>
      </c>
      <c r="H277">
        <v>110.9</v>
      </c>
      <c r="I277">
        <v>0.6</v>
      </c>
      <c r="M277">
        <v>185.29</v>
      </c>
      <c r="N277">
        <v>76.180000000000007</v>
      </c>
      <c r="O277">
        <v>4690000000</v>
      </c>
      <c r="P277">
        <v>1.01</v>
      </c>
      <c r="Q277">
        <v>0.38800000000000001</v>
      </c>
      <c r="V277">
        <v>0.38800000000000001</v>
      </c>
      <c r="W277">
        <v>0.38800000000000001</v>
      </c>
      <c r="X277">
        <v>0.38800000000000001</v>
      </c>
      <c r="Y277">
        <v>0</v>
      </c>
      <c r="Z277">
        <v>153.91</v>
      </c>
      <c r="AA277">
        <v>153.91</v>
      </c>
      <c r="AB277" t="s">
        <v>592</v>
      </c>
      <c r="AC277" t="s">
        <v>42</v>
      </c>
    </row>
    <row r="278" spans="1:29" x14ac:dyDescent="0.25">
      <c r="A278" t="s">
        <v>593</v>
      </c>
      <c r="B278" t="s">
        <v>143</v>
      </c>
      <c r="C278" s="1">
        <v>46065.5625</v>
      </c>
      <c r="E278" t="s">
        <v>31</v>
      </c>
      <c r="G278" t="s">
        <v>32</v>
      </c>
      <c r="H278">
        <v>122.25</v>
      </c>
      <c r="I278">
        <v>6.83</v>
      </c>
      <c r="M278">
        <v>18.5</v>
      </c>
      <c r="N278">
        <v>18.55</v>
      </c>
      <c r="O278">
        <v>67530000000</v>
      </c>
      <c r="P278">
        <v>0.62</v>
      </c>
      <c r="Q278">
        <v>6.3E-2</v>
      </c>
      <c r="V278">
        <v>6.3E-2</v>
      </c>
      <c r="W278">
        <v>6.3E-2</v>
      </c>
      <c r="X278">
        <v>6.3E-2</v>
      </c>
      <c r="Y278">
        <v>0</v>
      </c>
      <c r="Z278">
        <v>129.94</v>
      </c>
      <c r="AA278">
        <v>129.94</v>
      </c>
      <c r="AB278" t="s">
        <v>594</v>
      </c>
      <c r="AC278" t="s">
        <v>59</v>
      </c>
    </row>
    <row r="279" spans="1:29" x14ac:dyDescent="0.25">
      <c r="A279" t="s">
        <v>595</v>
      </c>
      <c r="B279" t="s">
        <v>143</v>
      </c>
      <c r="C279" s="1">
        <v>46065.5625</v>
      </c>
      <c r="E279" t="s">
        <v>31</v>
      </c>
      <c r="G279" t="s">
        <v>32</v>
      </c>
      <c r="H279">
        <v>35.770000000000003</v>
      </c>
      <c r="I279">
        <v>-4.66</v>
      </c>
      <c r="N279">
        <v>53.53</v>
      </c>
      <c r="O279">
        <v>4140000000</v>
      </c>
      <c r="P279">
        <v>0.4</v>
      </c>
      <c r="Q279">
        <v>-3.4000000000000002E-2</v>
      </c>
      <c r="V279">
        <v>-3.4000000000000002E-2</v>
      </c>
      <c r="W279">
        <v>-3.4000000000000002E-2</v>
      </c>
      <c r="X279">
        <v>-3.4000000000000002E-2</v>
      </c>
      <c r="Y279">
        <v>0</v>
      </c>
      <c r="Z279">
        <v>34.54</v>
      </c>
      <c r="AA279">
        <v>34.54</v>
      </c>
      <c r="AB279" t="s">
        <v>596</v>
      </c>
      <c r="AC279" t="s">
        <v>34</v>
      </c>
    </row>
    <row r="280" spans="1:29" x14ac:dyDescent="0.25">
      <c r="A280" t="s">
        <v>597</v>
      </c>
      <c r="B280" t="s">
        <v>143</v>
      </c>
      <c r="C280" s="1">
        <v>46065.5625</v>
      </c>
      <c r="E280" t="s">
        <v>31</v>
      </c>
      <c r="G280" t="s">
        <v>32</v>
      </c>
      <c r="H280">
        <v>142.22999999999999</v>
      </c>
      <c r="I280">
        <v>5.63</v>
      </c>
      <c r="M280">
        <v>25.26</v>
      </c>
      <c r="N280">
        <v>18.25</v>
      </c>
      <c r="O280">
        <v>5590000000</v>
      </c>
      <c r="P280">
        <v>1.2</v>
      </c>
      <c r="Q280">
        <v>5.1999999999999998E-2</v>
      </c>
      <c r="V280">
        <v>5.1999999999999998E-2</v>
      </c>
      <c r="W280">
        <v>5.1999999999999998E-2</v>
      </c>
      <c r="X280">
        <v>5.1999999999999998E-2</v>
      </c>
      <c r="Y280">
        <v>0</v>
      </c>
      <c r="Z280">
        <v>149.62</v>
      </c>
      <c r="AA280">
        <v>149.62</v>
      </c>
      <c r="AB280" t="s">
        <v>598</v>
      </c>
      <c r="AC280" t="s">
        <v>42</v>
      </c>
    </row>
    <row r="281" spans="1:29" x14ac:dyDescent="0.25">
      <c r="A281" t="s">
        <v>599</v>
      </c>
      <c r="B281" t="s">
        <v>143</v>
      </c>
      <c r="C281" s="1">
        <v>46065.5625</v>
      </c>
      <c r="D281" s="2">
        <v>46065</v>
      </c>
      <c r="E281" t="s">
        <v>31</v>
      </c>
      <c r="G281" t="s">
        <v>32</v>
      </c>
      <c r="H281">
        <v>69.89</v>
      </c>
      <c r="I281">
        <v>5.91</v>
      </c>
      <c r="M281">
        <v>11.53</v>
      </c>
      <c r="N281">
        <v>10.8</v>
      </c>
      <c r="O281">
        <v>3530000000</v>
      </c>
      <c r="P281">
        <v>-0.28999999999999998</v>
      </c>
      <c r="Q281">
        <v>8.9999999999999993E-3</v>
      </c>
      <c r="V281">
        <v>8.9999999999999993E-3</v>
      </c>
      <c r="W281">
        <v>8.9999999999999993E-3</v>
      </c>
      <c r="X281">
        <v>8.9999999999999993E-3</v>
      </c>
      <c r="Y281">
        <v>0</v>
      </c>
      <c r="Z281">
        <v>70.510000000000005</v>
      </c>
      <c r="AA281">
        <v>70.510000000000005</v>
      </c>
      <c r="AB281" t="s">
        <v>600</v>
      </c>
      <c r="AC281" t="s">
        <v>34</v>
      </c>
    </row>
    <row r="282" spans="1:29" x14ac:dyDescent="0.25">
      <c r="A282" t="s">
        <v>601</v>
      </c>
      <c r="B282" t="s">
        <v>143</v>
      </c>
      <c r="C282" s="1">
        <v>46065.5625</v>
      </c>
      <c r="E282" t="s">
        <v>31</v>
      </c>
      <c r="G282" t="s">
        <v>32</v>
      </c>
      <c r="H282">
        <v>13.58</v>
      </c>
      <c r="I282">
        <v>0.78</v>
      </c>
      <c r="M282">
        <v>16.82</v>
      </c>
      <c r="N282">
        <v>10.31</v>
      </c>
      <c r="O282">
        <v>532170000</v>
      </c>
      <c r="P282">
        <v>-0.13</v>
      </c>
      <c r="Q282">
        <v>0</v>
      </c>
      <c r="V282">
        <v>0</v>
      </c>
      <c r="W282">
        <v>0</v>
      </c>
      <c r="X282">
        <v>0</v>
      </c>
      <c r="Y282">
        <v>0</v>
      </c>
      <c r="Z282">
        <v>13.58</v>
      </c>
      <c r="AA282">
        <v>13.58</v>
      </c>
      <c r="AB282" t="s">
        <v>602</v>
      </c>
      <c r="AC282" t="s">
        <v>38</v>
      </c>
    </row>
    <row r="283" spans="1:29" x14ac:dyDescent="0.25">
      <c r="A283" t="s">
        <v>603</v>
      </c>
      <c r="B283" t="s">
        <v>143</v>
      </c>
      <c r="C283" s="1">
        <v>46065.5625</v>
      </c>
      <c r="E283" t="s">
        <v>31</v>
      </c>
      <c r="F283" s="1">
        <v>46065.695439814815</v>
      </c>
      <c r="G283" t="s">
        <v>32</v>
      </c>
      <c r="H283">
        <v>44.45</v>
      </c>
      <c r="I283">
        <v>2.79</v>
      </c>
      <c r="M283">
        <v>17.02</v>
      </c>
      <c r="N283">
        <v>15.81</v>
      </c>
      <c r="O283">
        <v>48040000000</v>
      </c>
      <c r="P283">
        <v>0.45</v>
      </c>
      <c r="Q283">
        <v>9.0999999999999998E-2</v>
      </c>
      <c r="V283">
        <v>9.0999999999999998E-2</v>
      </c>
      <c r="W283">
        <v>9.0999999999999998E-2</v>
      </c>
      <c r="X283">
        <v>9.0999999999999998E-2</v>
      </c>
      <c r="Y283">
        <v>0</v>
      </c>
      <c r="Z283">
        <v>48.48</v>
      </c>
      <c r="AA283">
        <v>48.48</v>
      </c>
      <c r="AB283" t="s">
        <v>604</v>
      </c>
      <c r="AC283" t="s">
        <v>59</v>
      </c>
    </row>
    <row r="284" spans="1:29" x14ac:dyDescent="0.25">
      <c r="A284" t="s">
        <v>605</v>
      </c>
      <c r="B284" t="s">
        <v>143</v>
      </c>
      <c r="C284" s="1">
        <v>46065.5625</v>
      </c>
      <c r="D284" s="2">
        <v>46065</v>
      </c>
      <c r="E284" t="s">
        <v>31</v>
      </c>
      <c r="G284" t="s">
        <v>32</v>
      </c>
      <c r="H284">
        <v>100.2</v>
      </c>
      <c r="I284">
        <v>4.05</v>
      </c>
      <c r="M284">
        <v>24.22</v>
      </c>
      <c r="N284">
        <v>22.39</v>
      </c>
      <c r="O284">
        <v>43830000000</v>
      </c>
      <c r="P284">
        <v>0.65</v>
      </c>
      <c r="Q284">
        <v>4.9000000000000002E-2</v>
      </c>
      <c r="V284">
        <v>4.9000000000000002E-2</v>
      </c>
      <c r="W284">
        <v>4.9000000000000002E-2</v>
      </c>
      <c r="X284">
        <v>4.9000000000000002E-2</v>
      </c>
      <c r="Y284">
        <v>0</v>
      </c>
      <c r="Z284">
        <v>105.07</v>
      </c>
      <c r="AA284">
        <v>105.07</v>
      </c>
      <c r="AB284" t="s">
        <v>606</v>
      </c>
      <c r="AC284" t="s">
        <v>59</v>
      </c>
    </row>
    <row r="285" spans="1:29" x14ac:dyDescent="0.25">
      <c r="A285" t="s">
        <v>607</v>
      </c>
      <c r="B285" t="s">
        <v>143</v>
      </c>
      <c r="C285" s="1">
        <v>46065.5625</v>
      </c>
      <c r="E285" t="s">
        <v>31</v>
      </c>
      <c r="F285" s="1">
        <v>46065.695613425924</v>
      </c>
      <c r="G285" t="s">
        <v>32</v>
      </c>
      <c r="H285">
        <v>17.100000000000001</v>
      </c>
      <c r="I285">
        <v>1.17</v>
      </c>
      <c r="M285">
        <v>14.97</v>
      </c>
      <c r="N285">
        <v>9.86</v>
      </c>
      <c r="O285">
        <v>38600000000</v>
      </c>
      <c r="P285">
        <v>0.36</v>
      </c>
      <c r="Q285">
        <v>6.2E-2</v>
      </c>
      <c r="V285">
        <v>6.2E-2</v>
      </c>
      <c r="W285">
        <v>6.2E-2</v>
      </c>
      <c r="X285">
        <v>6.2E-2</v>
      </c>
      <c r="Y285">
        <v>0</v>
      </c>
      <c r="Z285">
        <v>18.16</v>
      </c>
      <c r="AA285">
        <v>18.16</v>
      </c>
      <c r="AB285" t="s">
        <v>608</v>
      </c>
      <c r="AC285" t="s">
        <v>59</v>
      </c>
    </row>
    <row r="286" spans="1:29" x14ac:dyDescent="0.25">
      <c r="A286" t="s">
        <v>609</v>
      </c>
      <c r="C286" s="1">
        <v>46065.5625</v>
      </c>
      <c r="E286" t="s">
        <v>31</v>
      </c>
      <c r="F286" s="1">
        <v>46065.324479166666</v>
      </c>
      <c r="G286" t="s">
        <v>32</v>
      </c>
      <c r="H286">
        <v>73.27</v>
      </c>
      <c r="I286">
        <v>2.74</v>
      </c>
      <c r="M286">
        <v>26.74</v>
      </c>
      <c r="N286">
        <v>18.239999999999998</v>
      </c>
      <c r="O286">
        <v>159780000000</v>
      </c>
      <c r="P286">
        <v>-5.03</v>
      </c>
      <c r="Q286">
        <v>1.7999999999999999E-2</v>
      </c>
      <c r="V286">
        <v>1.7999999999999999E-2</v>
      </c>
      <c r="W286">
        <v>1.7999999999999999E-2</v>
      </c>
      <c r="X286">
        <v>1.7999999999999999E-2</v>
      </c>
      <c r="Y286">
        <v>0</v>
      </c>
      <c r="Z286">
        <v>74.59</v>
      </c>
      <c r="AA286">
        <v>74.59</v>
      </c>
      <c r="AB286" t="s">
        <v>610</v>
      </c>
      <c r="AC286" t="s">
        <v>279</v>
      </c>
    </row>
    <row r="287" spans="1:29" x14ac:dyDescent="0.25">
      <c r="A287" t="s">
        <v>611</v>
      </c>
      <c r="C287" s="1">
        <v>46065.875</v>
      </c>
      <c r="D287" s="2">
        <v>46065</v>
      </c>
      <c r="E287" t="s">
        <v>31</v>
      </c>
      <c r="F287" s="1">
        <v>46062.292326388888</v>
      </c>
      <c r="G287" t="s">
        <v>40</v>
      </c>
      <c r="H287">
        <v>49.68</v>
      </c>
      <c r="I287">
        <v>6</v>
      </c>
      <c r="M287">
        <v>8.15</v>
      </c>
      <c r="N287">
        <v>7.94</v>
      </c>
      <c r="O287">
        <v>1720000000</v>
      </c>
      <c r="P287">
        <v>0.83</v>
      </c>
      <c r="Q287">
        <v>0.03</v>
      </c>
      <c r="V287">
        <v>0.03</v>
      </c>
      <c r="W287">
        <v>0.03</v>
      </c>
      <c r="X287">
        <v>0.03</v>
      </c>
      <c r="Y287">
        <v>0</v>
      </c>
      <c r="Z287">
        <v>51.17</v>
      </c>
      <c r="AA287">
        <v>51.17</v>
      </c>
      <c r="AB287" t="s">
        <v>612</v>
      </c>
      <c r="AC287" t="s">
        <v>94</v>
      </c>
    </row>
    <row r="288" spans="1:29" x14ac:dyDescent="0.25">
      <c r="A288" t="s">
        <v>613</v>
      </c>
      <c r="B288" t="s">
        <v>143</v>
      </c>
      <c r="C288" s="1">
        <v>46065.875</v>
      </c>
      <c r="D288" s="2">
        <v>46065</v>
      </c>
      <c r="E288" t="s">
        <v>31</v>
      </c>
      <c r="F288" s="1">
        <v>46062.292488425926</v>
      </c>
      <c r="G288" t="s">
        <v>40</v>
      </c>
      <c r="H288">
        <v>35.83</v>
      </c>
      <c r="I288">
        <v>2.2999999999999998</v>
      </c>
      <c r="M288">
        <v>15.72</v>
      </c>
      <c r="N288">
        <v>12.31</v>
      </c>
      <c r="O288">
        <v>4560000000</v>
      </c>
      <c r="P288">
        <v>1.46</v>
      </c>
      <c r="Q288">
        <v>0.108</v>
      </c>
      <c r="V288">
        <v>0.108</v>
      </c>
      <c r="W288">
        <v>0.108</v>
      </c>
      <c r="X288">
        <v>0.108</v>
      </c>
      <c r="Y288">
        <v>0</v>
      </c>
      <c r="Z288">
        <v>39.700000000000003</v>
      </c>
      <c r="AA288">
        <v>39.700000000000003</v>
      </c>
      <c r="AB288" t="s">
        <v>614</v>
      </c>
      <c r="AC288" t="s">
        <v>94</v>
      </c>
    </row>
    <row r="289" spans="1:29" x14ac:dyDescent="0.25">
      <c r="A289" t="s">
        <v>615</v>
      </c>
      <c r="B289" t="s">
        <v>143</v>
      </c>
      <c r="C289" s="1">
        <v>46065.875</v>
      </c>
      <c r="E289" t="s">
        <v>31</v>
      </c>
      <c r="G289" t="s">
        <v>40</v>
      </c>
      <c r="H289">
        <v>34.15</v>
      </c>
      <c r="I289">
        <v>1.82</v>
      </c>
      <c r="M289">
        <v>18.8</v>
      </c>
      <c r="N289">
        <v>13.52</v>
      </c>
      <c r="O289">
        <v>602310000</v>
      </c>
      <c r="P289">
        <v>1.91</v>
      </c>
      <c r="Q289">
        <v>0.32400000000000001</v>
      </c>
      <c r="V289">
        <v>0.32400000000000001</v>
      </c>
      <c r="W289">
        <v>0.32400000000000001</v>
      </c>
      <c r="X289">
        <v>0.32400000000000001</v>
      </c>
      <c r="Y289">
        <v>0</v>
      </c>
      <c r="Z289">
        <v>45.2</v>
      </c>
      <c r="AA289">
        <v>45.2</v>
      </c>
      <c r="AB289" t="s">
        <v>616</v>
      </c>
      <c r="AC289" t="s">
        <v>64</v>
      </c>
    </row>
    <row r="290" spans="1:29" x14ac:dyDescent="0.25">
      <c r="A290" t="s">
        <v>617</v>
      </c>
      <c r="B290" t="s">
        <v>143</v>
      </c>
      <c r="C290" s="1">
        <v>46066.5625</v>
      </c>
      <c r="E290" t="s">
        <v>31</v>
      </c>
      <c r="F290" s="1">
        <v>46066.696574074071</v>
      </c>
      <c r="G290" t="s">
        <v>32</v>
      </c>
      <c r="H290">
        <v>58.22</v>
      </c>
      <c r="I290">
        <v>-6.31</v>
      </c>
      <c r="N290">
        <v>14.19</v>
      </c>
      <c r="O290">
        <v>3530000000</v>
      </c>
      <c r="P290">
        <v>1.1100000000000001</v>
      </c>
      <c r="AB290" t="s">
        <v>618</v>
      </c>
      <c r="AC290" t="s">
        <v>64</v>
      </c>
    </row>
    <row r="291" spans="1:29" x14ac:dyDescent="0.25">
      <c r="A291" t="s">
        <v>619</v>
      </c>
      <c r="B291" t="s">
        <v>143</v>
      </c>
      <c r="C291" s="1">
        <v>46066.5625</v>
      </c>
      <c r="E291" t="s">
        <v>31</v>
      </c>
      <c r="F291" s="1">
        <v>46066.69699074074</v>
      </c>
      <c r="G291" t="s">
        <v>32</v>
      </c>
      <c r="H291">
        <v>51.84</v>
      </c>
      <c r="I291">
        <v>1.82</v>
      </c>
      <c r="M291">
        <v>29.53</v>
      </c>
      <c r="N291">
        <v>22.75</v>
      </c>
      <c r="O291">
        <v>117530000000</v>
      </c>
      <c r="P291">
        <v>0.66</v>
      </c>
      <c r="AB291" t="s">
        <v>620</v>
      </c>
      <c r="AC29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69B-DF47-423B-828D-7E8BA6AE8455}">
  <sheetPr codeName="Sheet2"/>
  <dimension ref="A1:M303"/>
  <sheetViews>
    <sheetView tabSelected="1" workbookViewId="0">
      <selection activeCell="K28" sqref="K28"/>
    </sheetView>
  </sheetViews>
  <sheetFormatPr defaultRowHeight="15" x14ac:dyDescent="0.25"/>
  <cols>
    <col min="2" max="2" width="14.5703125" bestFit="1" customWidth="1"/>
    <col min="3" max="3" width="3" bestFit="1" customWidth="1"/>
    <col min="4" max="4" width="9.140625" style="7"/>
    <col min="5" max="5" width="12.5703125" bestFit="1" customWidth="1"/>
    <col min="6" max="6" width="11.5703125" bestFit="1" customWidth="1"/>
    <col min="8" max="8" width="19.7109375" bestFit="1" customWidth="1"/>
    <col min="9" max="10" width="12.5703125" bestFit="1" customWidth="1"/>
    <col min="11" max="12" width="11.5703125" bestFit="1" customWidth="1"/>
  </cols>
  <sheetData>
    <row r="1" spans="1:13" x14ac:dyDescent="0.25">
      <c r="A1" t="s">
        <v>0</v>
      </c>
      <c r="B1" t="s">
        <v>2</v>
      </c>
      <c r="D1" s="7" t="s">
        <v>18</v>
      </c>
      <c r="E1" t="s">
        <v>621</v>
      </c>
      <c r="F1" t="s">
        <v>622</v>
      </c>
    </row>
    <row r="2" spans="1:13" x14ac:dyDescent="0.25">
      <c r="A2" t="s">
        <v>29</v>
      </c>
      <c r="B2" s="1">
        <v>45964</v>
      </c>
      <c r="C2">
        <f>INT((B2-$B$2)/7)</f>
        <v>0</v>
      </c>
      <c r="D2" s="7">
        <v>-5.0999999999999997E-2</v>
      </c>
      <c r="E2" s="4">
        <v>2000</v>
      </c>
      <c r="F2" s="6">
        <f>E2*D2</f>
        <v>-102</v>
      </c>
      <c r="H2" t="s">
        <v>623</v>
      </c>
      <c r="I2" s="4">
        <f>SUM(E:E)</f>
        <v>550000</v>
      </c>
    </row>
    <row r="3" spans="1:13" x14ac:dyDescent="0.25">
      <c r="A3" t="s">
        <v>35</v>
      </c>
      <c r="B3" s="1">
        <v>45964</v>
      </c>
      <c r="C3">
        <f>INT((B3-$B$2)/7)</f>
        <v>0</v>
      </c>
      <c r="D3" s="7">
        <v>3.2000000000000001E-2</v>
      </c>
      <c r="E3" s="4">
        <v>2000</v>
      </c>
      <c r="F3" s="6">
        <f>E3*D3</f>
        <v>64</v>
      </c>
      <c r="H3" t="s">
        <v>624</v>
      </c>
      <c r="I3">
        <f>MAX(C:C)</f>
        <v>14</v>
      </c>
    </row>
    <row r="4" spans="1:13" x14ac:dyDescent="0.25">
      <c r="A4" t="s">
        <v>39</v>
      </c>
      <c r="B4" s="1">
        <v>45964</v>
      </c>
      <c r="C4">
        <f>INT((B4-$B$2)/7)</f>
        <v>0</v>
      </c>
      <c r="D4" s="7">
        <v>-7.1999999999999995E-2</v>
      </c>
      <c r="E4" s="4">
        <v>2000</v>
      </c>
      <c r="F4" s="6">
        <f>E4*D4</f>
        <v>-144</v>
      </c>
      <c r="H4" t="s">
        <v>625</v>
      </c>
      <c r="I4" s="6">
        <f>I2/I3</f>
        <v>39285.714285714283</v>
      </c>
    </row>
    <row r="5" spans="1:13" x14ac:dyDescent="0.25">
      <c r="A5" t="s">
        <v>43</v>
      </c>
      <c r="B5" s="1">
        <v>45964</v>
      </c>
      <c r="C5">
        <f>INT((B5-$B$2)/7)</f>
        <v>0</v>
      </c>
      <c r="D5" s="7">
        <v>-0.23499999999999999</v>
      </c>
      <c r="E5" s="4">
        <v>2000</v>
      </c>
      <c r="F5" s="6">
        <f>E5*D5</f>
        <v>-470</v>
      </c>
      <c r="H5" t="s">
        <v>626</v>
      </c>
      <c r="I5" s="6">
        <f>SUM(F:F)</f>
        <v>22014</v>
      </c>
    </row>
    <row r="6" spans="1:13" x14ac:dyDescent="0.25">
      <c r="A6" t="s">
        <v>45</v>
      </c>
      <c r="B6" s="1">
        <v>45964</v>
      </c>
      <c r="C6">
        <f>INT((B6-$B$2)/7)</f>
        <v>0</v>
      </c>
      <c r="D6" s="7">
        <v>0.127</v>
      </c>
      <c r="E6" s="4">
        <v>2000</v>
      </c>
      <c r="F6" s="6">
        <f>E6*D6</f>
        <v>254</v>
      </c>
      <c r="H6" t="s">
        <v>627</v>
      </c>
      <c r="I6" s="5">
        <f>I5/I2</f>
        <v>4.0025454545454545E-2</v>
      </c>
    </row>
    <row r="7" spans="1:13" x14ac:dyDescent="0.25">
      <c r="A7" t="s">
        <v>48</v>
      </c>
      <c r="B7" s="1">
        <v>45964</v>
      </c>
      <c r="C7">
        <f>INT((B7-$B$2)/7)</f>
        <v>0</v>
      </c>
      <c r="D7" s="7">
        <v>-4.7E-2</v>
      </c>
      <c r="E7" s="4">
        <v>2000</v>
      </c>
      <c r="F7" s="6">
        <f>E7*D7</f>
        <v>-94</v>
      </c>
      <c r="H7" t="s">
        <v>628</v>
      </c>
      <c r="I7" s="5">
        <f>I5/I4</f>
        <v>0.56035636363636365</v>
      </c>
    </row>
    <row r="8" spans="1:13" x14ac:dyDescent="0.25">
      <c r="A8" t="s">
        <v>50</v>
      </c>
      <c r="B8" s="1">
        <v>45964</v>
      </c>
      <c r="C8">
        <f>INT((B8-$B$2)/7)</f>
        <v>0</v>
      </c>
      <c r="D8" s="7">
        <v>4.4999999999999998E-2</v>
      </c>
      <c r="E8" s="4">
        <v>2000</v>
      </c>
      <c r="F8" s="6">
        <f>E8*D8</f>
        <v>90</v>
      </c>
      <c r="H8" t="s">
        <v>629</v>
      </c>
      <c r="I8" s="5">
        <f>I5/96000</f>
        <v>0.2293125</v>
      </c>
    </row>
    <row r="9" spans="1:13" x14ac:dyDescent="0.25">
      <c r="A9" t="s">
        <v>53</v>
      </c>
      <c r="B9" s="1">
        <v>45964</v>
      </c>
      <c r="C9">
        <f>INT((B9-$B$2)/7)</f>
        <v>0</v>
      </c>
      <c r="D9" s="7">
        <v>0.17799999999999999</v>
      </c>
      <c r="E9" s="4">
        <v>2000</v>
      </c>
      <c r="F9" s="6">
        <f>E9*D9</f>
        <v>356</v>
      </c>
    </row>
    <row r="10" spans="1:13" x14ac:dyDescent="0.25">
      <c r="A10" t="s">
        <v>55</v>
      </c>
      <c r="B10" s="1">
        <v>45964</v>
      </c>
      <c r="C10">
        <f>INT((B10-$B$2)/7)</f>
        <v>0</v>
      </c>
      <c r="D10" s="7">
        <v>8.2000000000000003E-2</v>
      </c>
      <c r="E10" s="4">
        <v>2000</v>
      </c>
      <c r="F10" s="6">
        <f>E10*D10</f>
        <v>164</v>
      </c>
      <c r="H10" t="s">
        <v>630</v>
      </c>
      <c r="I10">
        <v>266</v>
      </c>
      <c r="J10">
        <v>58.42</v>
      </c>
      <c r="K10">
        <v>4.16</v>
      </c>
      <c r="L10">
        <v>10.97</v>
      </c>
      <c r="M10">
        <v>41.25</v>
      </c>
    </row>
    <row r="11" spans="1:13" x14ac:dyDescent="0.25">
      <c r="A11" t="s">
        <v>92</v>
      </c>
      <c r="B11" s="1">
        <v>45965</v>
      </c>
      <c r="C11">
        <f>INT((B11-$B$2)/7)</f>
        <v>0</v>
      </c>
      <c r="D11" s="7">
        <v>0.185</v>
      </c>
      <c r="E11" s="4">
        <v>2000</v>
      </c>
      <c r="F11" s="6">
        <f>E11*D11</f>
        <v>370</v>
      </c>
      <c r="H11" t="s">
        <v>631</v>
      </c>
      <c r="I11">
        <v>144</v>
      </c>
      <c r="J11">
        <v>61.33</v>
      </c>
      <c r="K11">
        <v>5.45</v>
      </c>
      <c r="L11">
        <v>13.52</v>
      </c>
      <c r="M11">
        <v>52.32</v>
      </c>
    </row>
    <row r="12" spans="1:13" x14ac:dyDescent="0.25">
      <c r="A12" t="s">
        <v>103</v>
      </c>
      <c r="B12" s="1">
        <v>45965</v>
      </c>
      <c r="C12">
        <f>INT((B12-$B$2)/7)</f>
        <v>0</v>
      </c>
      <c r="D12" s="7">
        <v>0.313</v>
      </c>
      <c r="E12" s="4">
        <v>2000</v>
      </c>
      <c r="F12" s="6">
        <f>E12*D12</f>
        <v>626</v>
      </c>
      <c r="H12" t="s">
        <v>632</v>
      </c>
      <c r="I12">
        <f>I11-I10</f>
        <v>-122</v>
      </c>
      <c r="J12">
        <f t="shared" ref="J12:M12" si="0">J11-J10</f>
        <v>2.9099999999999966</v>
      </c>
      <c r="K12">
        <f t="shared" si="0"/>
        <v>1.29</v>
      </c>
      <c r="L12">
        <f t="shared" si="0"/>
        <v>2.5499999999999989</v>
      </c>
      <c r="M12">
        <f t="shared" si="0"/>
        <v>11.07</v>
      </c>
    </row>
    <row r="13" spans="1:13" x14ac:dyDescent="0.25">
      <c r="A13" t="s">
        <v>97</v>
      </c>
      <c r="B13" s="1">
        <v>45965</v>
      </c>
      <c r="C13">
        <f>INT((B13-$B$2)/7)</f>
        <v>0</v>
      </c>
      <c r="D13" s="7">
        <v>0.17399999999999999</v>
      </c>
      <c r="E13" s="4">
        <v>2000</v>
      </c>
      <c r="F13" s="6">
        <f>E13*D13</f>
        <v>348</v>
      </c>
    </row>
    <row r="14" spans="1:13" x14ac:dyDescent="0.25">
      <c r="A14" t="s">
        <v>107</v>
      </c>
      <c r="B14" s="1">
        <v>45965</v>
      </c>
      <c r="C14">
        <f>INT((B14-$B$2)/7)</f>
        <v>0</v>
      </c>
      <c r="D14" s="7">
        <v>0.13900000000000001</v>
      </c>
      <c r="E14" s="4">
        <v>2000</v>
      </c>
      <c r="F14" s="6">
        <f>E14*D14</f>
        <v>278</v>
      </c>
      <c r="H14" cm="1">
        <f t="array" ref="H14:H26">_xlfn.UNIQUE(C2:C254)</f>
        <v>0</v>
      </c>
      <c r="I14" s="3">
        <f>SUMIF(C:C,H14,E:E)</f>
        <v>192000</v>
      </c>
      <c r="J14">
        <f>COUNTIF(C:C,H14)</f>
        <v>96</v>
      </c>
      <c r="K14" s="3">
        <f>SUMIF(C:C,H14,F:F)</f>
        <v>11486</v>
      </c>
      <c r="L14" s="8">
        <f>K14/I14</f>
        <v>5.982291666666667E-2</v>
      </c>
    </row>
    <row r="15" spans="1:13" x14ac:dyDescent="0.25">
      <c r="A15" t="s">
        <v>101</v>
      </c>
      <c r="B15" s="1">
        <v>45965</v>
      </c>
      <c r="C15">
        <f>INT((B15-$B$2)/7)</f>
        <v>0</v>
      </c>
      <c r="D15" s="7">
        <v>-5.0000000000000001E-3</v>
      </c>
      <c r="E15" s="4">
        <v>2000</v>
      </c>
      <c r="F15" s="6">
        <f>E15*D15</f>
        <v>-10</v>
      </c>
      <c r="H15">
        <v>1</v>
      </c>
      <c r="I15" s="3">
        <f>SUMIF(C:C,H15,E:E)</f>
        <v>56000</v>
      </c>
      <c r="J15">
        <f>COUNTIF(C:C,H15)</f>
        <v>28</v>
      </c>
      <c r="K15" s="3">
        <f>SUMIF(C:C,H15,F:F)</f>
        <v>-166</v>
      </c>
      <c r="L15" s="8">
        <f t="shared" ref="L15:L26" si="1">K15/I15</f>
        <v>-2.9642857142857144E-3</v>
      </c>
    </row>
    <row r="16" spans="1:13" x14ac:dyDescent="0.25">
      <c r="A16" t="s">
        <v>111</v>
      </c>
      <c r="B16" s="1">
        <v>45965</v>
      </c>
      <c r="C16">
        <f>INT((B16-$B$2)/7)</f>
        <v>0</v>
      </c>
      <c r="D16" s="7">
        <v>2.5999999999999999E-2</v>
      </c>
      <c r="E16" s="4">
        <v>2000</v>
      </c>
      <c r="F16" s="6">
        <f>E16*D16</f>
        <v>52</v>
      </c>
      <c r="H16">
        <v>2</v>
      </c>
      <c r="I16" s="3">
        <f>SUMIF(C:C,H16,E:E)</f>
        <v>34000</v>
      </c>
      <c r="J16">
        <f>COUNTIF(C:C,H16)</f>
        <v>17</v>
      </c>
      <c r="K16" s="3">
        <f>SUMIF(C:C,H16,F:F)</f>
        <v>2700</v>
      </c>
      <c r="L16" s="8">
        <f t="shared" si="1"/>
        <v>7.9411764705882348E-2</v>
      </c>
    </row>
    <row r="17" spans="1:12" x14ac:dyDescent="0.25">
      <c r="A17" t="s">
        <v>99</v>
      </c>
      <c r="B17" s="1">
        <v>45965</v>
      </c>
      <c r="C17">
        <f>INT((B17-$B$2)/7)</f>
        <v>0</v>
      </c>
      <c r="D17" s="7">
        <v>0.113</v>
      </c>
      <c r="E17" s="4">
        <v>2000</v>
      </c>
      <c r="F17" s="6">
        <f>E17*D17</f>
        <v>226</v>
      </c>
      <c r="H17">
        <v>3</v>
      </c>
      <c r="I17" s="3">
        <f>SUMIF(C:C,H17,E:E)</f>
        <v>16000</v>
      </c>
      <c r="J17">
        <f>COUNTIF(C:C,H17)</f>
        <v>8</v>
      </c>
      <c r="K17" s="3">
        <f>SUMIF(C:C,H17,F:F)</f>
        <v>1224</v>
      </c>
      <c r="L17" s="8">
        <f t="shared" si="1"/>
        <v>7.6499999999999999E-2</v>
      </c>
    </row>
    <row r="18" spans="1:12" x14ac:dyDescent="0.25">
      <c r="A18" t="s">
        <v>90</v>
      </c>
      <c r="B18" s="1">
        <v>45965</v>
      </c>
      <c r="C18">
        <f>INT((B18-$B$2)/7)</f>
        <v>0</v>
      </c>
      <c r="D18" s="7">
        <v>0.191</v>
      </c>
      <c r="E18" s="4">
        <v>2000</v>
      </c>
      <c r="F18" s="6">
        <f>E18*D18</f>
        <v>382</v>
      </c>
      <c r="H18">
        <v>4</v>
      </c>
      <c r="I18" s="3">
        <f>SUMIF(C:C,H18,E:E)</f>
        <v>12000</v>
      </c>
      <c r="J18">
        <f>COUNTIF(C:C,H18)</f>
        <v>6</v>
      </c>
      <c r="K18" s="3">
        <f>SUMIF(C:C,H18,F:F)</f>
        <v>100</v>
      </c>
      <c r="L18" s="8">
        <f t="shared" si="1"/>
        <v>8.3333333333333332E-3</v>
      </c>
    </row>
    <row r="19" spans="1:12" x14ac:dyDescent="0.25">
      <c r="A19" t="s">
        <v>109</v>
      </c>
      <c r="B19" s="1">
        <v>45965</v>
      </c>
      <c r="C19">
        <f>INT((B19-$B$2)/7)</f>
        <v>0</v>
      </c>
      <c r="D19" s="7">
        <v>-0.27600000000000002</v>
      </c>
      <c r="E19" s="4">
        <v>2000</v>
      </c>
      <c r="F19" s="6">
        <f>E19*D19</f>
        <v>-552</v>
      </c>
      <c r="H19">
        <v>5</v>
      </c>
      <c r="I19" s="3">
        <f>SUMIF(C:C,H19,E:E)</f>
        <v>24000</v>
      </c>
      <c r="J19">
        <f>COUNTIF(C:C,H19)</f>
        <v>12</v>
      </c>
      <c r="K19" s="3">
        <f>SUMIF(C:C,H19,F:F)</f>
        <v>2784</v>
      </c>
      <c r="L19" s="8">
        <f t="shared" si="1"/>
        <v>0.11600000000000001</v>
      </c>
    </row>
    <row r="20" spans="1:12" x14ac:dyDescent="0.25">
      <c r="A20" t="s">
        <v>95</v>
      </c>
      <c r="B20" s="1">
        <v>45965</v>
      </c>
      <c r="C20">
        <f>INT((B20-$B$2)/7)</f>
        <v>0</v>
      </c>
      <c r="D20" s="7">
        <v>0.106</v>
      </c>
      <c r="E20" s="4">
        <v>2000</v>
      </c>
      <c r="F20" s="6">
        <f>E20*D20</f>
        <v>212</v>
      </c>
      <c r="H20">
        <v>6</v>
      </c>
      <c r="I20" s="3">
        <f>SUMIF(C:C,H20,E:E)</f>
        <v>18000</v>
      </c>
      <c r="J20">
        <f>COUNTIF(C:C,H20)</f>
        <v>9</v>
      </c>
      <c r="K20" s="3">
        <f>SUMIF(C:C,H20,F:F)</f>
        <v>904</v>
      </c>
      <c r="L20" s="8">
        <f t="shared" si="1"/>
        <v>5.0222222222222224E-2</v>
      </c>
    </row>
    <row r="21" spans="1:12" x14ac:dyDescent="0.25">
      <c r="A21" t="s">
        <v>105</v>
      </c>
      <c r="B21" s="1">
        <v>45965</v>
      </c>
      <c r="C21">
        <f>INT((B21-$B$2)/7)</f>
        <v>0</v>
      </c>
      <c r="D21" s="7">
        <v>4.4999999999999998E-2</v>
      </c>
      <c r="E21" s="4">
        <v>2000</v>
      </c>
      <c r="F21" s="6">
        <f>E21*D21</f>
        <v>90</v>
      </c>
      <c r="H21">
        <v>7</v>
      </c>
      <c r="I21" s="3">
        <f>SUMIF(C:C,H21,E:E)</f>
        <v>2000</v>
      </c>
      <c r="J21">
        <f>COUNTIF(C:C,H21)</f>
        <v>1</v>
      </c>
      <c r="K21" s="3">
        <f>SUMIF(C:C,H21,F:F)</f>
        <v>28</v>
      </c>
      <c r="L21" s="8">
        <f t="shared" si="1"/>
        <v>1.4E-2</v>
      </c>
    </row>
    <row r="22" spans="1:12" x14ac:dyDescent="0.25">
      <c r="A22" t="s">
        <v>85</v>
      </c>
      <c r="B22" s="1">
        <v>45965</v>
      </c>
      <c r="C22">
        <f>INT((B22-$B$2)/7)</f>
        <v>0</v>
      </c>
      <c r="D22" s="7">
        <v>0.35399999999999998</v>
      </c>
      <c r="E22" s="4">
        <v>2000</v>
      </c>
      <c r="F22" s="6">
        <f>E22*D22</f>
        <v>708</v>
      </c>
      <c r="H22">
        <v>9</v>
      </c>
      <c r="I22" s="3">
        <f>SUMIF(C:C,H22,E:E)</f>
        <v>10000</v>
      </c>
      <c r="J22">
        <f>COUNTIF(C:C,H22)</f>
        <v>5</v>
      </c>
      <c r="K22" s="3">
        <f>SUMIF(C:C,H22,F:F)</f>
        <v>226</v>
      </c>
      <c r="L22" s="8">
        <f t="shared" si="1"/>
        <v>2.2599999999999999E-2</v>
      </c>
    </row>
    <row r="23" spans="1:12" x14ac:dyDescent="0.25">
      <c r="A23" t="s">
        <v>87</v>
      </c>
      <c r="B23" s="1">
        <v>45965</v>
      </c>
      <c r="C23">
        <f>INT((B23-$B$2)/7)</f>
        <v>0</v>
      </c>
      <c r="D23" s="7">
        <v>-6.0999999999999999E-2</v>
      </c>
      <c r="E23" s="4">
        <v>2000</v>
      </c>
      <c r="F23" s="6">
        <f>E23*D23</f>
        <v>-122</v>
      </c>
      <c r="H23">
        <v>10</v>
      </c>
      <c r="I23" s="3">
        <f>SUMIF(C:C,H23,E:E)</f>
        <v>8000</v>
      </c>
      <c r="J23">
        <f>COUNTIF(C:C,H23)</f>
        <v>4</v>
      </c>
      <c r="K23" s="3">
        <f>SUMIF(C:C,H23,F:F)</f>
        <v>1082</v>
      </c>
      <c r="L23" s="8">
        <f t="shared" si="1"/>
        <v>0.13525000000000001</v>
      </c>
    </row>
    <row r="24" spans="1:12" x14ac:dyDescent="0.25">
      <c r="A24" t="s">
        <v>81</v>
      </c>
      <c r="B24" s="1">
        <v>45965</v>
      </c>
      <c r="C24">
        <f>INT((B24-$B$2)/7)</f>
        <v>0</v>
      </c>
      <c r="D24" s="7">
        <v>4.8000000000000001E-2</v>
      </c>
      <c r="E24" s="4">
        <v>2000</v>
      </c>
      <c r="F24" s="6">
        <f>E24*D24</f>
        <v>96</v>
      </c>
      <c r="H24">
        <v>11</v>
      </c>
      <c r="I24" s="3">
        <f>SUMIF(C:C,H24,E:E)</f>
        <v>10000</v>
      </c>
      <c r="J24">
        <f>COUNTIF(C:C,H24)</f>
        <v>5</v>
      </c>
      <c r="K24" s="3">
        <f>SUMIF(C:C,H24,F:F)</f>
        <v>-130</v>
      </c>
      <c r="L24" s="8">
        <f t="shared" si="1"/>
        <v>-1.2999999999999999E-2</v>
      </c>
    </row>
    <row r="25" spans="1:12" x14ac:dyDescent="0.25">
      <c r="A25" t="s">
        <v>83</v>
      </c>
      <c r="B25" s="1">
        <v>45965</v>
      </c>
      <c r="C25">
        <f>INT((B25-$B$2)/7)</f>
        <v>0</v>
      </c>
      <c r="D25" s="7">
        <v>-5.8999999999999997E-2</v>
      </c>
      <c r="E25" s="4">
        <v>2000</v>
      </c>
      <c r="F25" s="6">
        <f>E25*D25</f>
        <v>-118</v>
      </c>
      <c r="H25">
        <v>12</v>
      </c>
      <c r="I25" s="3">
        <f>SUMIF(C:C,H25,E:E)</f>
        <v>44000</v>
      </c>
      <c r="J25">
        <f>COUNTIF(C:C,H25)</f>
        <v>22</v>
      </c>
      <c r="K25" s="3">
        <f>SUMIF(C:C,H25,F:F)</f>
        <v>1054</v>
      </c>
      <c r="L25" s="8">
        <f t="shared" si="1"/>
        <v>2.3954545454545454E-2</v>
      </c>
    </row>
    <row r="26" spans="1:12" x14ac:dyDescent="0.25">
      <c r="A26" t="s">
        <v>79</v>
      </c>
      <c r="B26" s="1">
        <v>45965</v>
      </c>
      <c r="C26">
        <f>INT((B26-$B$2)/7)</f>
        <v>0</v>
      </c>
      <c r="D26" s="7">
        <v>5.0000000000000001E-3</v>
      </c>
      <c r="E26" s="4">
        <v>2000</v>
      </c>
      <c r="F26" s="6">
        <f>E26*D26</f>
        <v>10</v>
      </c>
      <c r="H26">
        <v>13</v>
      </c>
      <c r="I26" s="3">
        <f>SUMIF(C:C,H26,E:E)</f>
        <v>82000</v>
      </c>
      <c r="J26">
        <f>COUNTIF(C:C,H26)</f>
        <v>41</v>
      </c>
      <c r="K26" s="3">
        <f>SUMIF(C:C,H26,F:F)</f>
        <v>606</v>
      </c>
      <c r="L26" s="8">
        <f t="shared" si="1"/>
        <v>7.390243902439024E-3</v>
      </c>
    </row>
    <row r="27" spans="1:12" x14ac:dyDescent="0.25">
      <c r="A27" t="s">
        <v>62</v>
      </c>
      <c r="B27" s="1">
        <v>45965</v>
      </c>
      <c r="C27">
        <f>INT((B27-$B$2)/7)</f>
        <v>0</v>
      </c>
      <c r="D27" s="7">
        <v>9.8000000000000004E-2</v>
      </c>
      <c r="E27" s="4">
        <v>2000</v>
      </c>
      <c r="F27" s="6">
        <f>E27*D27</f>
        <v>196</v>
      </c>
      <c r="L27" s="9">
        <f>AVERAGE(L14:L26)</f>
        <v>4.4424672351600261E-2</v>
      </c>
    </row>
    <row r="28" spans="1:12" x14ac:dyDescent="0.25">
      <c r="A28" t="s">
        <v>73</v>
      </c>
      <c r="B28" s="1">
        <v>45965</v>
      </c>
      <c r="C28">
        <f>INT((B28-$B$2)/7)</f>
        <v>0</v>
      </c>
      <c r="D28" s="7">
        <v>-6.7000000000000004E-2</v>
      </c>
      <c r="E28" s="4">
        <v>2000</v>
      </c>
      <c r="F28" s="6">
        <f>E28*D28</f>
        <v>-134</v>
      </c>
    </row>
    <row r="29" spans="1:12" x14ac:dyDescent="0.25">
      <c r="A29" t="s">
        <v>67</v>
      </c>
      <c r="B29" s="1">
        <v>45965</v>
      </c>
      <c r="C29">
        <f>INT((B29-$B$2)/7)</f>
        <v>0</v>
      </c>
      <c r="D29" s="7">
        <v>-4.2000000000000003E-2</v>
      </c>
      <c r="E29" s="4">
        <v>2000</v>
      </c>
      <c r="F29" s="6">
        <f>E29*D29</f>
        <v>-84</v>
      </c>
    </row>
    <row r="30" spans="1:12" x14ac:dyDescent="0.25">
      <c r="A30" t="s">
        <v>77</v>
      </c>
      <c r="B30" s="1">
        <v>45965</v>
      </c>
      <c r="C30">
        <f>INT((B30-$B$2)/7)</f>
        <v>0</v>
      </c>
      <c r="D30" s="7">
        <v>7.8E-2</v>
      </c>
      <c r="E30" s="4">
        <v>2000</v>
      </c>
      <c r="F30" s="6">
        <f>E30*D30</f>
        <v>156</v>
      </c>
    </row>
    <row r="31" spans="1:12" x14ac:dyDescent="0.25">
      <c r="A31" t="s">
        <v>57</v>
      </c>
      <c r="B31" s="1">
        <v>45965</v>
      </c>
      <c r="C31">
        <f>INT((B31-$B$2)/7)</f>
        <v>0</v>
      </c>
      <c r="D31" s="7">
        <v>2E-3</v>
      </c>
      <c r="E31" s="4">
        <v>2000</v>
      </c>
      <c r="F31" s="6">
        <f>E31*D31</f>
        <v>4</v>
      </c>
    </row>
    <row r="32" spans="1:12" x14ac:dyDescent="0.25">
      <c r="A32" t="s">
        <v>75</v>
      </c>
      <c r="B32" s="1">
        <v>45965</v>
      </c>
      <c r="C32">
        <f>INT((B32-$B$2)/7)</f>
        <v>0</v>
      </c>
      <c r="D32" s="7">
        <v>4.7E-2</v>
      </c>
      <c r="E32" s="4">
        <v>2000</v>
      </c>
      <c r="F32" s="6">
        <f>E32*D32</f>
        <v>94</v>
      </c>
    </row>
    <row r="33" spans="1:6" x14ac:dyDescent="0.25">
      <c r="A33" t="s">
        <v>69</v>
      </c>
      <c r="B33" s="1">
        <v>45965</v>
      </c>
      <c r="C33">
        <f>INT((B33-$B$2)/7)</f>
        <v>0</v>
      </c>
      <c r="D33" s="7">
        <v>-2.9000000000000001E-2</v>
      </c>
      <c r="E33" s="4">
        <v>2000</v>
      </c>
      <c r="F33" s="6">
        <f>E33*D33</f>
        <v>-58</v>
      </c>
    </row>
    <row r="34" spans="1:6" x14ac:dyDescent="0.25">
      <c r="A34" t="s">
        <v>60</v>
      </c>
      <c r="B34" s="1">
        <v>45965</v>
      </c>
      <c r="C34">
        <f>INT((B34-$B$2)/7)</f>
        <v>0</v>
      </c>
      <c r="D34" s="7">
        <v>-7.3999999999999996E-2</v>
      </c>
      <c r="E34" s="4">
        <v>2000</v>
      </c>
      <c r="F34" s="6">
        <f>E34*D34</f>
        <v>-148</v>
      </c>
    </row>
    <row r="35" spans="1:6" x14ac:dyDescent="0.25">
      <c r="A35" t="s">
        <v>71</v>
      </c>
      <c r="B35" s="1">
        <v>45965</v>
      </c>
      <c r="C35">
        <f>INT((B35-$B$2)/7)</f>
        <v>0</v>
      </c>
      <c r="D35" s="7">
        <v>0.05</v>
      </c>
      <c r="E35" s="4">
        <v>2000</v>
      </c>
      <c r="F35" s="6">
        <f>E35*D35</f>
        <v>100</v>
      </c>
    </row>
    <row r="36" spans="1:6" x14ac:dyDescent="0.25">
      <c r="A36" t="s">
        <v>65</v>
      </c>
      <c r="B36" s="1">
        <v>45965</v>
      </c>
      <c r="C36">
        <f>INT((B36-$B$2)/7)</f>
        <v>0</v>
      </c>
      <c r="D36" s="7">
        <v>-0.104</v>
      </c>
      <c r="E36" s="4">
        <v>2000</v>
      </c>
      <c r="F36" s="6">
        <f>E36*D36</f>
        <v>-208</v>
      </c>
    </row>
    <row r="37" spans="1:6" x14ac:dyDescent="0.25">
      <c r="A37" t="s">
        <v>145</v>
      </c>
      <c r="B37" s="1">
        <v>45966</v>
      </c>
      <c r="C37">
        <f>INT((B37-$B$2)/7)</f>
        <v>0</v>
      </c>
      <c r="D37" s="7">
        <v>0.114</v>
      </c>
      <c r="E37" s="4">
        <v>2000</v>
      </c>
      <c r="F37" s="6">
        <f>E37*D37</f>
        <v>228</v>
      </c>
    </row>
    <row r="38" spans="1:6" x14ac:dyDescent="0.25">
      <c r="A38" t="s">
        <v>150</v>
      </c>
      <c r="B38" s="1">
        <v>45966</v>
      </c>
      <c r="C38">
        <f>INT((B38-$B$2)/7)</f>
        <v>0</v>
      </c>
      <c r="D38" s="7">
        <v>-0.14499999999999999</v>
      </c>
      <c r="E38" s="4">
        <v>2000</v>
      </c>
      <c r="F38" s="6">
        <f>E38*D38</f>
        <v>-290</v>
      </c>
    </row>
    <row r="39" spans="1:6" x14ac:dyDescent="0.25">
      <c r="A39" t="s">
        <v>156</v>
      </c>
      <c r="B39" s="1">
        <v>45966</v>
      </c>
      <c r="C39">
        <f>INT((B39-$B$2)/7)</f>
        <v>0</v>
      </c>
      <c r="D39" s="7">
        <v>0.64700000000000002</v>
      </c>
      <c r="E39" s="4">
        <v>2000</v>
      </c>
      <c r="F39" s="6">
        <f>E39*D39</f>
        <v>1294</v>
      </c>
    </row>
    <row r="40" spans="1:6" x14ac:dyDescent="0.25">
      <c r="A40" t="s">
        <v>159</v>
      </c>
      <c r="B40" s="1">
        <v>45966</v>
      </c>
      <c r="C40">
        <f>INT((B40-$B$2)/7)</f>
        <v>0</v>
      </c>
      <c r="D40" s="7">
        <v>3.9E-2</v>
      </c>
      <c r="E40" s="4">
        <v>2000</v>
      </c>
      <c r="F40" s="6">
        <f>E40*D40</f>
        <v>78</v>
      </c>
    </row>
    <row r="41" spans="1:6" x14ac:dyDescent="0.25">
      <c r="A41" t="s">
        <v>162</v>
      </c>
      <c r="B41" s="1">
        <v>45966</v>
      </c>
      <c r="C41">
        <f>INT((B41-$B$2)/7)</f>
        <v>0</v>
      </c>
      <c r="D41" s="7">
        <v>0.13500000000000001</v>
      </c>
      <c r="E41" s="4">
        <v>2000</v>
      </c>
      <c r="F41" s="6">
        <f>E41*D41</f>
        <v>270</v>
      </c>
    </row>
    <row r="42" spans="1:6" x14ac:dyDescent="0.25">
      <c r="A42" t="s">
        <v>142</v>
      </c>
      <c r="B42" s="1">
        <v>45966</v>
      </c>
      <c r="C42">
        <f>INT((B42-$B$2)/7)</f>
        <v>0</v>
      </c>
      <c r="D42" s="7">
        <v>-3.7999999999999999E-2</v>
      </c>
      <c r="E42" s="4">
        <v>2000</v>
      </c>
      <c r="F42" s="6">
        <f>E42*D42</f>
        <v>-76</v>
      </c>
    </row>
    <row r="43" spans="1:6" x14ac:dyDescent="0.25">
      <c r="A43" t="s">
        <v>117</v>
      </c>
      <c r="B43" s="1">
        <v>45966</v>
      </c>
      <c r="C43">
        <f>INT((B43-$B$2)/7)</f>
        <v>0</v>
      </c>
      <c r="D43" s="7">
        <v>0.159</v>
      </c>
      <c r="E43" s="4">
        <v>2000</v>
      </c>
      <c r="F43" s="6">
        <f>E43*D43</f>
        <v>318</v>
      </c>
    </row>
    <row r="44" spans="1:6" x14ac:dyDescent="0.25">
      <c r="A44" t="s">
        <v>154</v>
      </c>
      <c r="B44" s="1">
        <v>45966</v>
      </c>
      <c r="C44">
        <f>INT((B44-$B$2)/7)</f>
        <v>0</v>
      </c>
      <c r="D44" s="7">
        <v>0.14799999999999999</v>
      </c>
      <c r="E44" s="4">
        <v>2000</v>
      </c>
      <c r="F44" s="6">
        <f>E44*D44</f>
        <v>296</v>
      </c>
    </row>
    <row r="45" spans="1:6" x14ac:dyDescent="0.25">
      <c r="A45" t="s">
        <v>115</v>
      </c>
      <c r="B45" s="1">
        <v>45966</v>
      </c>
      <c r="C45">
        <f>INT((B45-$B$2)/7)</f>
        <v>0</v>
      </c>
      <c r="D45" s="7">
        <v>-0.217</v>
      </c>
      <c r="E45" s="4">
        <v>2000</v>
      </c>
      <c r="F45" s="6">
        <f>E45*D45</f>
        <v>-434</v>
      </c>
    </row>
    <row r="46" spans="1:6" x14ac:dyDescent="0.25">
      <c r="A46" t="s">
        <v>121</v>
      </c>
      <c r="B46" s="1">
        <v>45966</v>
      </c>
      <c r="C46">
        <f>INT((B46-$B$2)/7)</f>
        <v>0</v>
      </c>
      <c r="D46" s="7">
        <v>4.5999999999999999E-2</v>
      </c>
      <c r="E46" s="4">
        <v>2000</v>
      </c>
      <c r="F46" s="6">
        <f>E46*D46</f>
        <v>92</v>
      </c>
    </row>
    <row r="47" spans="1:6" x14ac:dyDescent="0.25">
      <c r="A47" t="s">
        <v>161</v>
      </c>
      <c r="B47" s="1">
        <v>45966</v>
      </c>
      <c r="C47">
        <f>INT((B47-$B$2)/7)</f>
        <v>0</v>
      </c>
      <c r="D47" s="7">
        <v>0.03</v>
      </c>
      <c r="E47" s="4">
        <v>2000</v>
      </c>
      <c r="F47" s="6">
        <f>E47*D47</f>
        <v>60</v>
      </c>
    </row>
    <row r="48" spans="1:6" x14ac:dyDescent="0.25">
      <c r="A48" t="s">
        <v>140</v>
      </c>
      <c r="B48" s="1">
        <v>45966</v>
      </c>
      <c r="C48">
        <f>INT((B48-$B$2)/7)</f>
        <v>0</v>
      </c>
      <c r="D48" s="7">
        <v>6.0000000000000001E-3</v>
      </c>
      <c r="E48" s="4">
        <v>2000</v>
      </c>
      <c r="F48" s="6">
        <f>E48*D48</f>
        <v>12</v>
      </c>
    </row>
    <row r="49" spans="1:6" x14ac:dyDescent="0.25">
      <c r="A49" t="s">
        <v>119</v>
      </c>
      <c r="B49" s="1">
        <v>45966</v>
      </c>
      <c r="C49">
        <f>INT((B49-$B$2)/7)</f>
        <v>0</v>
      </c>
      <c r="D49" s="7">
        <v>0.125</v>
      </c>
      <c r="E49" s="4">
        <v>2000</v>
      </c>
      <c r="F49" s="6">
        <f>E49*D49</f>
        <v>250</v>
      </c>
    </row>
    <row r="50" spans="1:6" x14ac:dyDescent="0.25">
      <c r="A50" t="s">
        <v>136</v>
      </c>
      <c r="B50" s="1">
        <v>45966</v>
      </c>
      <c r="C50">
        <f>INT((B50-$B$2)/7)</f>
        <v>0</v>
      </c>
      <c r="D50" s="7">
        <v>3.5999999999999997E-2</v>
      </c>
      <c r="E50" s="4">
        <v>2000</v>
      </c>
      <c r="F50" s="6">
        <f>E50*D50</f>
        <v>72</v>
      </c>
    </row>
    <row r="51" spans="1:6" x14ac:dyDescent="0.25">
      <c r="A51" t="s">
        <v>152</v>
      </c>
      <c r="B51" s="1">
        <v>45966</v>
      </c>
      <c r="C51">
        <f>INT((B51-$B$2)/7)</f>
        <v>0</v>
      </c>
      <c r="D51" s="7">
        <v>1.7000000000000001E-2</v>
      </c>
      <c r="E51" s="4">
        <v>2000</v>
      </c>
      <c r="F51" s="6">
        <f>E51*D51</f>
        <v>34</v>
      </c>
    </row>
    <row r="52" spans="1:6" x14ac:dyDescent="0.25">
      <c r="A52" t="s">
        <v>113</v>
      </c>
      <c r="B52" s="1">
        <v>45966</v>
      </c>
      <c r="C52">
        <f>INT((B52-$B$2)/7)</f>
        <v>0</v>
      </c>
      <c r="D52" s="7">
        <v>-0.14699999999999999</v>
      </c>
      <c r="E52" s="4">
        <v>2000</v>
      </c>
      <c r="F52" s="6">
        <f>E52*D52</f>
        <v>-294</v>
      </c>
    </row>
    <row r="53" spans="1:6" x14ac:dyDescent="0.25">
      <c r="A53" t="s">
        <v>123</v>
      </c>
      <c r="B53" s="1">
        <v>45966</v>
      </c>
      <c r="C53">
        <f>INT((B53-$B$2)/7)</f>
        <v>0</v>
      </c>
      <c r="D53" s="7">
        <v>8.5999999999999993E-2</v>
      </c>
      <c r="E53" s="4">
        <v>2000</v>
      </c>
      <c r="F53" s="6">
        <f>E53*D53</f>
        <v>172</v>
      </c>
    </row>
    <row r="54" spans="1:6" x14ac:dyDescent="0.25">
      <c r="A54" t="s">
        <v>130</v>
      </c>
      <c r="B54" s="1">
        <v>45966</v>
      </c>
      <c r="C54">
        <f>INT((B54-$B$2)/7)</f>
        <v>0</v>
      </c>
      <c r="D54" s="7">
        <v>0.313</v>
      </c>
      <c r="E54" s="4">
        <v>2000</v>
      </c>
      <c r="F54" s="6">
        <f>E54*D54</f>
        <v>626</v>
      </c>
    </row>
    <row r="55" spans="1:6" x14ac:dyDescent="0.25">
      <c r="A55" t="s">
        <v>132</v>
      </c>
      <c r="B55" s="1">
        <v>45966</v>
      </c>
      <c r="C55">
        <f>INT((B55-$B$2)/7)</f>
        <v>0</v>
      </c>
      <c r="D55" s="7">
        <v>0.2</v>
      </c>
      <c r="E55" s="4">
        <v>2000</v>
      </c>
      <c r="F55" s="6">
        <f>E55*D55</f>
        <v>400</v>
      </c>
    </row>
    <row r="56" spans="1:6" x14ac:dyDescent="0.25">
      <c r="A56" t="s">
        <v>125</v>
      </c>
      <c r="B56" s="1">
        <v>45966</v>
      </c>
      <c r="C56">
        <f>INT((B56-$B$2)/7)</f>
        <v>0</v>
      </c>
      <c r="D56" s="7">
        <v>7.0000000000000001E-3</v>
      </c>
      <c r="E56" s="4">
        <v>2000</v>
      </c>
      <c r="F56" s="6">
        <f>E56*D56</f>
        <v>14</v>
      </c>
    </row>
    <row r="57" spans="1:6" x14ac:dyDescent="0.25">
      <c r="A57" t="s">
        <v>134</v>
      </c>
      <c r="B57" s="1">
        <v>45966</v>
      </c>
      <c r="C57">
        <f>INT((B57-$B$2)/7)</f>
        <v>0</v>
      </c>
      <c r="D57" s="7">
        <v>0.47499999999999998</v>
      </c>
      <c r="E57" s="4">
        <v>2000</v>
      </c>
      <c r="F57" s="6">
        <f>E57*D57</f>
        <v>950</v>
      </c>
    </row>
    <row r="58" spans="1:6" x14ac:dyDescent="0.25">
      <c r="A58" t="s">
        <v>138</v>
      </c>
      <c r="B58" s="1">
        <v>45966</v>
      </c>
      <c r="C58">
        <f>INT((B58-$B$2)/7)</f>
        <v>0</v>
      </c>
      <c r="D58" s="7">
        <v>2.1000000000000001E-2</v>
      </c>
      <c r="E58" s="4">
        <v>2000</v>
      </c>
      <c r="F58" s="6">
        <f>E58*D58</f>
        <v>42</v>
      </c>
    </row>
    <row r="59" spans="1:6" x14ac:dyDescent="0.25">
      <c r="A59" t="b">
        <v>1</v>
      </c>
      <c r="B59" s="1">
        <v>45966</v>
      </c>
      <c r="C59">
        <f>INT((B59-$B$2)/7)</f>
        <v>0</v>
      </c>
      <c r="D59" s="7">
        <v>4.1000000000000002E-2</v>
      </c>
      <c r="E59" s="4">
        <v>2000</v>
      </c>
      <c r="F59" s="6">
        <f>E59*D59</f>
        <v>82</v>
      </c>
    </row>
    <row r="60" spans="1:6" x14ac:dyDescent="0.25">
      <c r="A60" t="s">
        <v>127</v>
      </c>
      <c r="B60" s="1">
        <v>45966</v>
      </c>
      <c r="C60">
        <f>INT((B60-$B$2)/7)</f>
        <v>0</v>
      </c>
      <c r="D60" s="7">
        <v>0.252</v>
      </c>
      <c r="E60" s="4">
        <v>2000</v>
      </c>
      <c r="F60" s="6">
        <f>E60*D60</f>
        <v>504</v>
      </c>
    </row>
    <row r="61" spans="1:6" x14ac:dyDescent="0.25">
      <c r="A61" t="s">
        <v>147</v>
      </c>
      <c r="B61" s="1">
        <v>45966</v>
      </c>
      <c r="C61">
        <f>INT((B61-$B$2)/7)</f>
        <v>0</v>
      </c>
      <c r="D61" s="7">
        <v>-2.5000000000000001E-2</v>
      </c>
      <c r="E61" s="4">
        <v>2000</v>
      </c>
      <c r="F61" s="6">
        <f>E61*D61</f>
        <v>-50</v>
      </c>
    </row>
    <row r="62" spans="1:6" x14ac:dyDescent="0.25">
      <c r="A62" t="s">
        <v>204</v>
      </c>
      <c r="B62" s="1">
        <v>45967</v>
      </c>
      <c r="C62">
        <f>INT((B62-$B$2)/7)</f>
        <v>0</v>
      </c>
      <c r="D62" s="7">
        <v>0.36099999999999999</v>
      </c>
      <c r="E62" s="4">
        <v>2000</v>
      </c>
      <c r="F62" s="6">
        <f>E62*D62</f>
        <v>722</v>
      </c>
    </row>
    <row r="63" spans="1:6" x14ac:dyDescent="0.25">
      <c r="A63" t="s">
        <v>220</v>
      </c>
      <c r="B63" s="1">
        <v>45967</v>
      </c>
      <c r="C63">
        <f>INT((B63-$B$2)/7)</f>
        <v>0</v>
      </c>
      <c r="D63" s="7">
        <v>0.41</v>
      </c>
      <c r="E63" s="4">
        <v>2000</v>
      </c>
      <c r="F63" s="6">
        <f>E63*D63</f>
        <v>820</v>
      </c>
    </row>
    <row r="64" spans="1:6" x14ac:dyDescent="0.25">
      <c r="A64" t="s">
        <v>198</v>
      </c>
      <c r="B64" s="1">
        <v>45967</v>
      </c>
      <c r="C64">
        <f>INT((B64-$B$2)/7)</f>
        <v>0</v>
      </c>
      <c r="D64" s="7">
        <v>-0.27200000000000002</v>
      </c>
      <c r="E64" s="4">
        <v>2000</v>
      </c>
      <c r="F64" s="6">
        <f>E64*D64</f>
        <v>-544</v>
      </c>
    </row>
    <row r="65" spans="1:6" x14ac:dyDescent="0.25">
      <c r="A65" t="s">
        <v>200</v>
      </c>
      <c r="B65" s="1">
        <v>45967</v>
      </c>
      <c r="C65">
        <f>INT((B65-$B$2)/7)</f>
        <v>0</v>
      </c>
      <c r="D65" s="7">
        <v>6.8000000000000005E-2</v>
      </c>
      <c r="E65" s="4">
        <v>2000</v>
      </c>
      <c r="F65" s="6">
        <f>E65*D65</f>
        <v>136</v>
      </c>
    </row>
    <row r="66" spans="1:6" x14ac:dyDescent="0.25">
      <c r="A66" t="s">
        <v>202</v>
      </c>
      <c r="B66" s="1">
        <v>45967</v>
      </c>
      <c r="C66">
        <f>INT((B66-$B$2)/7)</f>
        <v>0</v>
      </c>
      <c r="D66" s="7">
        <v>6.9000000000000006E-2</v>
      </c>
      <c r="E66" s="4">
        <v>2000</v>
      </c>
      <c r="F66" s="6">
        <f>E66*D66</f>
        <v>138</v>
      </c>
    </row>
    <row r="67" spans="1:6" x14ac:dyDescent="0.25">
      <c r="A67" t="s">
        <v>214</v>
      </c>
      <c r="B67" s="1">
        <v>45967</v>
      </c>
      <c r="C67">
        <f>INT((B67-$B$2)/7)</f>
        <v>0</v>
      </c>
      <c r="D67" s="7">
        <v>0.23400000000000001</v>
      </c>
      <c r="E67" s="4">
        <v>2000</v>
      </c>
      <c r="F67" s="6">
        <f>E67*D67</f>
        <v>468</v>
      </c>
    </row>
    <row r="68" spans="1:6" x14ac:dyDescent="0.25">
      <c r="A68" t="s">
        <v>208</v>
      </c>
      <c r="B68" s="1">
        <v>45967</v>
      </c>
      <c r="C68">
        <f>INT((B68-$B$2)/7)</f>
        <v>0</v>
      </c>
      <c r="D68" s="7">
        <v>-4.3999999999999997E-2</v>
      </c>
      <c r="E68" s="4">
        <v>2000</v>
      </c>
      <c r="F68" s="6">
        <f>E68*D68</f>
        <v>-88</v>
      </c>
    </row>
    <row r="69" spans="1:6" x14ac:dyDescent="0.25">
      <c r="A69" t="s">
        <v>206</v>
      </c>
      <c r="B69" s="1">
        <v>45967</v>
      </c>
      <c r="C69">
        <f>INT((B69-$B$2)/7)</f>
        <v>0</v>
      </c>
      <c r="D69" s="7">
        <v>0.09</v>
      </c>
      <c r="E69" s="4">
        <v>2000</v>
      </c>
      <c r="F69" s="6">
        <f>E69*D69</f>
        <v>180</v>
      </c>
    </row>
    <row r="70" spans="1:6" x14ac:dyDescent="0.25">
      <c r="A70" t="s">
        <v>178</v>
      </c>
      <c r="B70" s="1">
        <v>45967</v>
      </c>
      <c r="C70">
        <f>INT((B70-$B$2)/7)</f>
        <v>0</v>
      </c>
      <c r="D70" s="7">
        <v>7.0000000000000001E-3</v>
      </c>
      <c r="E70" s="4">
        <v>2000</v>
      </c>
      <c r="F70" s="6">
        <f>E70*D70</f>
        <v>14</v>
      </c>
    </row>
    <row r="71" spans="1:6" x14ac:dyDescent="0.25">
      <c r="A71" t="s">
        <v>212</v>
      </c>
      <c r="B71" s="1">
        <v>45967</v>
      </c>
      <c r="C71">
        <f>INT((B71-$B$2)/7)</f>
        <v>0</v>
      </c>
      <c r="D71" s="7">
        <v>0.45700000000000002</v>
      </c>
      <c r="E71" s="4">
        <v>2000</v>
      </c>
      <c r="F71" s="6">
        <f>E71*D71</f>
        <v>914</v>
      </c>
    </row>
    <row r="72" spans="1:6" x14ac:dyDescent="0.25">
      <c r="A72" t="s">
        <v>216</v>
      </c>
      <c r="B72" s="1">
        <v>45967</v>
      </c>
      <c r="C72">
        <f>INT((B72-$B$2)/7)</f>
        <v>0</v>
      </c>
      <c r="D72" s="7">
        <v>8.5999999999999993E-2</v>
      </c>
      <c r="E72" s="4">
        <v>2000</v>
      </c>
      <c r="F72" s="6">
        <f>E72*D72</f>
        <v>172</v>
      </c>
    </row>
    <row r="73" spans="1:6" x14ac:dyDescent="0.25">
      <c r="A73" t="s">
        <v>184</v>
      </c>
      <c r="B73" s="1">
        <v>45967</v>
      </c>
      <c r="C73">
        <f>INT((B73-$B$2)/7)</f>
        <v>0</v>
      </c>
      <c r="D73" s="7">
        <v>-1.7000000000000001E-2</v>
      </c>
      <c r="E73" s="4">
        <v>2000</v>
      </c>
      <c r="F73" s="6">
        <f>E73*D73</f>
        <v>-34</v>
      </c>
    </row>
    <row r="74" spans="1:6" x14ac:dyDescent="0.25">
      <c r="A74" t="s">
        <v>210</v>
      </c>
      <c r="B74" s="1">
        <v>45967</v>
      </c>
      <c r="C74">
        <f>INT((B74-$B$2)/7)</f>
        <v>0</v>
      </c>
      <c r="D74" s="7">
        <v>-0.13100000000000001</v>
      </c>
      <c r="E74" s="4">
        <v>2000</v>
      </c>
      <c r="F74" s="6">
        <f>E74*D74</f>
        <v>-262</v>
      </c>
    </row>
    <row r="75" spans="1:6" x14ac:dyDescent="0.25">
      <c r="A75" t="s">
        <v>164</v>
      </c>
      <c r="B75" s="1">
        <v>45967</v>
      </c>
      <c r="C75">
        <f>INT((B75-$B$2)/7)</f>
        <v>0</v>
      </c>
      <c r="D75" s="7">
        <v>1.4999999999999999E-2</v>
      </c>
      <c r="E75" s="4">
        <v>2000</v>
      </c>
      <c r="F75" s="6">
        <f>E75*D75</f>
        <v>30</v>
      </c>
    </row>
    <row r="76" spans="1:6" x14ac:dyDescent="0.25">
      <c r="A76" t="s">
        <v>194</v>
      </c>
      <c r="B76" s="1">
        <v>45967</v>
      </c>
      <c r="C76">
        <f>INT((B76-$B$2)/7)</f>
        <v>0</v>
      </c>
      <c r="D76" s="7">
        <v>-4.5999999999999999E-2</v>
      </c>
      <c r="E76" s="4">
        <v>2000</v>
      </c>
      <c r="F76" s="6">
        <f>E76*D76</f>
        <v>-92</v>
      </c>
    </row>
    <row r="77" spans="1:6" x14ac:dyDescent="0.25">
      <c r="A77" t="s">
        <v>176</v>
      </c>
      <c r="B77" s="1">
        <v>45967</v>
      </c>
      <c r="C77">
        <f>INT((B77-$B$2)/7)</f>
        <v>0</v>
      </c>
      <c r="D77" s="7">
        <v>-0.123</v>
      </c>
      <c r="E77" s="4">
        <v>2000</v>
      </c>
      <c r="F77" s="6">
        <f>E77*D77</f>
        <v>-246</v>
      </c>
    </row>
    <row r="78" spans="1:6" x14ac:dyDescent="0.25">
      <c r="A78" t="s">
        <v>218</v>
      </c>
      <c r="B78" s="1">
        <v>45967</v>
      </c>
      <c r="C78">
        <f>INT((B78-$B$2)/7)</f>
        <v>0</v>
      </c>
      <c r="D78" s="7">
        <v>0.14099999999999999</v>
      </c>
      <c r="E78" s="4">
        <v>2000</v>
      </c>
      <c r="F78" s="6">
        <f>E78*D78</f>
        <v>282</v>
      </c>
    </row>
    <row r="79" spans="1:6" x14ac:dyDescent="0.25">
      <c r="A79" t="s">
        <v>180</v>
      </c>
      <c r="B79" s="1">
        <v>45967</v>
      </c>
      <c r="C79">
        <f>INT((B79-$B$2)/7)</f>
        <v>0</v>
      </c>
      <c r="D79" s="7">
        <v>-0.04</v>
      </c>
      <c r="E79" s="4">
        <v>2000</v>
      </c>
      <c r="F79" s="6">
        <f>E79*D79</f>
        <v>-80</v>
      </c>
    </row>
    <row r="80" spans="1:6" x14ac:dyDescent="0.25">
      <c r="A80" t="s">
        <v>166</v>
      </c>
      <c r="B80" s="1">
        <v>45967</v>
      </c>
      <c r="C80">
        <f>INT((B80-$B$2)/7)</f>
        <v>0</v>
      </c>
      <c r="D80" s="7">
        <v>-0.11</v>
      </c>
      <c r="E80" s="4">
        <v>2000</v>
      </c>
      <c r="F80" s="6">
        <f>E80*D80</f>
        <v>-220</v>
      </c>
    </row>
    <row r="81" spans="1:6" x14ac:dyDescent="0.25">
      <c r="A81" t="s">
        <v>168</v>
      </c>
      <c r="B81" s="1">
        <v>45967</v>
      </c>
      <c r="C81">
        <f>INT((B81-$B$2)/7)</f>
        <v>0</v>
      </c>
      <c r="D81" s="7">
        <v>0.25800000000000001</v>
      </c>
      <c r="E81" s="4">
        <v>2000</v>
      </c>
      <c r="F81" s="6">
        <f>E81*D81</f>
        <v>516</v>
      </c>
    </row>
    <row r="82" spans="1:6" x14ac:dyDescent="0.25">
      <c r="A82" t="s">
        <v>170</v>
      </c>
      <c r="B82" s="1">
        <v>45967</v>
      </c>
      <c r="C82">
        <f>INT((B82-$B$2)/7)</f>
        <v>0</v>
      </c>
      <c r="D82" s="7">
        <v>-2.4E-2</v>
      </c>
      <c r="E82" s="4">
        <v>2000</v>
      </c>
      <c r="F82" s="6">
        <f>E82*D82</f>
        <v>-48</v>
      </c>
    </row>
    <row r="83" spans="1:6" x14ac:dyDescent="0.25">
      <c r="A83" t="s">
        <v>172</v>
      </c>
      <c r="B83" s="1">
        <v>45967</v>
      </c>
      <c r="C83">
        <f>INT((B83-$B$2)/7)</f>
        <v>0</v>
      </c>
      <c r="D83" s="7">
        <v>0.17100000000000001</v>
      </c>
      <c r="E83" s="4">
        <v>2000</v>
      </c>
      <c r="F83" s="6">
        <f>E83*D83</f>
        <v>342</v>
      </c>
    </row>
    <row r="84" spans="1:6" x14ac:dyDescent="0.25">
      <c r="A84" t="s">
        <v>196</v>
      </c>
      <c r="B84" s="1">
        <v>45967</v>
      </c>
      <c r="C84">
        <f>INT((B84-$B$2)/7)</f>
        <v>0</v>
      </c>
      <c r="D84" s="7">
        <v>-0.122</v>
      </c>
      <c r="E84" s="4">
        <v>2000</v>
      </c>
      <c r="F84" s="6">
        <f>E84*D84</f>
        <v>-244</v>
      </c>
    </row>
    <row r="85" spans="1:6" x14ac:dyDescent="0.25">
      <c r="A85" t="s">
        <v>192</v>
      </c>
      <c r="B85" s="1">
        <v>45967</v>
      </c>
      <c r="C85">
        <f>INT((B85-$B$2)/7)</f>
        <v>0</v>
      </c>
      <c r="D85" s="7">
        <v>0.05</v>
      </c>
      <c r="E85" s="4">
        <v>2000</v>
      </c>
      <c r="F85" s="6">
        <f>E85*D85</f>
        <v>100</v>
      </c>
    </row>
    <row r="86" spans="1:6" x14ac:dyDescent="0.25">
      <c r="A86" t="s">
        <v>188</v>
      </c>
      <c r="B86" s="1">
        <v>45967</v>
      </c>
      <c r="C86">
        <f>INT((B86-$B$2)/7)</f>
        <v>0</v>
      </c>
      <c r="D86" s="7">
        <v>0.01</v>
      </c>
      <c r="E86" s="4">
        <v>2000</v>
      </c>
      <c r="F86" s="6">
        <f>E86*D86</f>
        <v>20</v>
      </c>
    </row>
    <row r="87" spans="1:6" x14ac:dyDescent="0.25">
      <c r="A87" t="s">
        <v>186</v>
      </c>
      <c r="B87" s="1">
        <v>45967</v>
      </c>
      <c r="C87">
        <f>INT((B87-$B$2)/7)</f>
        <v>0</v>
      </c>
      <c r="D87" s="7">
        <v>0.23899999999999999</v>
      </c>
      <c r="E87" s="4">
        <v>2000</v>
      </c>
      <c r="F87" s="6">
        <f>E87*D87</f>
        <v>478</v>
      </c>
    </row>
    <row r="88" spans="1:6" x14ac:dyDescent="0.25">
      <c r="A88" t="s">
        <v>182</v>
      </c>
      <c r="B88" s="1">
        <v>45967</v>
      </c>
      <c r="C88">
        <f>INT((B88-$B$2)/7)</f>
        <v>0</v>
      </c>
      <c r="D88" s="7">
        <v>0.217</v>
      </c>
      <c r="E88" s="4">
        <v>2000</v>
      </c>
      <c r="F88" s="6">
        <f>E88*D88</f>
        <v>434</v>
      </c>
    </row>
    <row r="89" spans="1:6" x14ac:dyDescent="0.25">
      <c r="A89" t="s">
        <v>190</v>
      </c>
      <c r="B89" s="1">
        <v>45967</v>
      </c>
      <c r="C89">
        <f>INT((B89-$B$2)/7)</f>
        <v>0</v>
      </c>
      <c r="D89" s="7">
        <v>-1.4999999999999999E-2</v>
      </c>
      <c r="E89" s="4">
        <v>2000</v>
      </c>
      <c r="F89" s="6">
        <f>E89*D89</f>
        <v>-30</v>
      </c>
    </row>
    <row r="90" spans="1:6" x14ac:dyDescent="0.25">
      <c r="A90" t="s">
        <v>174</v>
      </c>
      <c r="B90" s="1">
        <v>45967</v>
      </c>
      <c r="C90">
        <f>INT((B90-$B$2)/7)</f>
        <v>0</v>
      </c>
      <c r="D90" s="7">
        <v>-4.4999999999999998E-2</v>
      </c>
      <c r="E90" s="4">
        <v>2000</v>
      </c>
      <c r="F90" s="6">
        <f>E90*D90</f>
        <v>-90</v>
      </c>
    </row>
    <row r="91" spans="1:6" x14ac:dyDescent="0.25">
      <c r="A91" t="s">
        <v>225</v>
      </c>
      <c r="B91" s="1">
        <v>45968</v>
      </c>
      <c r="C91">
        <f>INT((B91-$B$2)/7)</f>
        <v>0</v>
      </c>
      <c r="D91" s="7">
        <v>0.42499999999999999</v>
      </c>
      <c r="E91" s="4">
        <v>2000</v>
      </c>
      <c r="F91" s="6">
        <f>E91*D91</f>
        <v>850</v>
      </c>
    </row>
    <row r="92" spans="1:6" x14ac:dyDescent="0.25">
      <c r="A92" t="s">
        <v>233</v>
      </c>
      <c r="B92" s="1">
        <v>45968</v>
      </c>
      <c r="C92">
        <f>INT((B92-$B$2)/7)</f>
        <v>0</v>
      </c>
      <c r="D92" s="7">
        <v>-4.0000000000000001E-3</v>
      </c>
      <c r="E92" s="4">
        <v>2000</v>
      </c>
      <c r="F92" s="6">
        <f>E92*D92</f>
        <v>-8</v>
      </c>
    </row>
    <row r="93" spans="1:6" x14ac:dyDescent="0.25">
      <c r="A93" t="s">
        <v>231</v>
      </c>
      <c r="B93" s="1">
        <v>45968</v>
      </c>
      <c r="C93">
        <f>INT((B93-$B$2)/7)</f>
        <v>0</v>
      </c>
      <c r="D93" s="7">
        <v>-0.30199999999999999</v>
      </c>
      <c r="E93" s="4">
        <v>2000</v>
      </c>
      <c r="F93" s="6">
        <f>E93*D93</f>
        <v>-604</v>
      </c>
    </row>
    <row r="94" spans="1:6" x14ac:dyDescent="0.25">
      <c r="A94" t="s">
        <v>235</v>
      </c>
      <c r="B94" s="1">
        <v>45968</v>
      </c>
      <c r="C94">
        <f>INT((B94-$B$2)/7)</f>
        <v>0</v>
      </c>
      <c r="D94" s="7">
        <v>6.6000000000000003E-2</v>
      </c>
      <c r="E94" s="4">
        <v>2000</v>
      </c>
      <c r="F94" s="6">
        <f>E94*D94</f>
        <v>132</v>
      </c>
    </row>
    <row r="95" spans="1:6" x14ac:dyDescent="0.25">
      <c r="A95" t="s">
        <v>227</v>
      </c>
      <c r="B95" s="1">
        <v>45968</v>
      </c>
      <c r="C95">
        <f>INT((B95-$B$2)/7)</f>
        <v>0</v>
      </c>
      <c r="D95" s="7">
        <v>2E-3</v>
      </c>
      <c r="E95" s="4">
        <v>2000</v>
      </c>
      <c r="F95" s="6">
        <f>E95*D95</f>
        <v>4</v>
      </c>
    </row>
    <row r="96" spans="1:6" x14ac:dyDescent="0.25">
      <c r="A96" t="s">
        <v>229</v>
      </c>
      <c r="B96" s="1">
        <v>45968</v>
      </c>
      <c r="C96">
        <f>INT((B96-$B$2)/7)</f>
        <v>0</v>
      </c>
      <c r="D96" s="7">
        <v>2.4E-2</v>
      </c>
      <c r="E96" s="4">
        <v>2000</v>
      </c>
      <c r="F96" s="6">
        <f>E96*D96</f>
        <v>48</v>
      </c>
    </row>
    <row r="97" spans="1:6" x14ac:dyDescent="0.25">
      <c r="A97" t="s">
        <v>222</v>
      </c>
      <c r="B97" s="1">
        <v>45968</v>
      </c>
      <c r="C97">
        <f>INT((B97-$B$2)/7)</f>
        <v>0</v>
      </c>
      <c r="D97" s="7">
        <v>-3.0000000000000001E-3</v>
      </c>
      <c r="E97" s="4">
        <v>2000</v>
      </c>
      <c r="F97" s="6">
        <f>E97*D97</f>
        <v>-6</v>
      </c>
    </row>
    <row r="98" spans="1:6" x14ac:dyDescent="0.25">
      <c r="A98" t="s">
        <v>237</v>
      </c>
      <c r="B98" s="1">
        <v>45971</v>
      </c>
      <c r="C98">
        <f>INT((B98-$B$2)/7)</f>
        <v>1</v>
      </c>
      <c r="D98" s="7">
        <v>-3.5999999999999997E-2</v>
      </c>
      <c r="E98" s="4">
        <v>2000</v>
      </c>
      <c r="F98" s="6">
        <f>E98*D98</f>
        <v>-72</v>
      </c>
    </row>
    <row r="99" spans="1:6" x14ac:dyDescent="0.25">
      <c r="A99" t="s">
        <v>239</v>
      </c>
      <c r="B99" s="1">
        <v>45971</v>
      </c>
      <c r="C99">
        <f>INT((B99-$B$2)/7)</f>
        <v>1</v>
      </c>
      <c r="D99" s="7">
        <v>3.6999999999999998E-2</v>
      </c>
      <c r="E99" s="4">
        <v>2000</v>
      </c>
      <c r="F99" s="6">
        <f>E99*D99</f>
        <v>74</v>
      </c>
    </row>
    <row r="100" spans="1:6" x14ac:dyDescent="0.25">
      <c r="A100" t="s">
        <v>241</v>
      </c>
      <c r="B100" s="1">
        <v>45971</v>
      </c>
      <c r="C100">
        <f>INT((B100-$B$2)/7)</f>
        <v>1</v>
      </c>
      <c r="D100" s="7">
        <v>0.104</v>
      </c>
      <c r="E100" s="4">
        <v>2000</v>
      </c>
      <c r="F100" s="6">
        <f>E100*D100</f>
        <v>208</v>
      </c>
    </row>
    <row r="101" spans="1:6" x14ac:dyDescent="0.25">
      <c r="A101" t="s">
        <v>243</v>
      </c>
      <c r="B101" s="1">
        <v>45971</v>
      </c>
      <c r="C101">
        <f>INT((B101-$B$2)/7)</f>
        <v>1</v>
      </c>
      <c r="D101" s="7">
        <v>-4.8000000000000001E-2</v>
      </c>
      <c r="E101" s="4">
        <v>2000</v>
      </c>
      <c r="F101" s="6">
        <f>E101*D101</f>
        <v>-96</v>
      </c>
    </row>
    <row r="102" spans="1:6" x14ac:dyDescent="0.25">
      <c r="A102" t="s">
        <v>245</v>
      </c>
      <c r="B102" s="1">
        <v>45971</v>
      </c>
      <c r="C102">
        <f>INT((B102-$B$2)/7)</f>
        <v>1</v>
      </c>
      <c r="D102" s="7">
        <v>0.14299999999999999</v>
      </c>
      <c r="E102" s="4">
        <v>2000</v>
      </c>
      <c r="F102" s="6">
        <f>E102*D102</f>
        <v>286</v>
      </c>
    </row>
    <row r="103" spans="1:6" x14ac:dyDescent="0.25">
      <c r="A103" t="s">
        <v>247</v>
      </c>
      <c r="B103" s="1">
        <v>45971</v>
      </c>
      <c r="C103">
        <f>INT((B103-$B$2)/7)</f>
        <v>1</v>
      </c>
      <c r="D103" s="7">
        <v>6.0999999999999999E-2</v>
      </c>
      <c r="E103" s="4">
        <v>2000</v>
      </c>
      <c r="F103" s="6">
        <f>E103*D103</f>
        <v>122</v>
      </c>
    </row>
    <row r="104" spans="1:6" x14ac:dyDescent="0.25">
      <c r="A104" t="s">
        <v>249</v>
      </c>
      <c r="B104" s="1">
        <v>45971</v>
      </c>
      <c r="C104">
        <f>INT((B104-$B$2)/7)</f>
        <v>1</v>
      </c>
      <c r="D104" s="7">
        <v>-2E-3</v>
      </c>
      <c r="E104" s="4">
        <v>2000</v>
      </c>
      <c r="F104" s="6">
        <f>E104*D104</f>
        <v>-4</v>
      </c>
    </row>
    <row r="105" spans="1:6" x14ac:dyDescent="0.25">
      <c r="A105" t="s">
        <v>251</v>
      </c>
      <c r="B105" s="1">
        <v>45971</v>
      </c>
      <c r="C105">
        <f>INT((B105-$B$2)/7)</f>
        <v>1</v>
      </c>
      <c r="D105" s="7">
        <v>9.6000000000000002E-2</v>
      </c>
      <c r="E105" s="4">
        <v>2000</v>
      </c>
      <c r="F105" s="6">
        <f>E105*D105</f>
        <v>192</v>
      </c>
    </row>
    <row r="106" spans="1:6" x14ac:dyDescent="0.25">
      <c r="A106" t="s">
        <v>253</v>
      </c>
      <c r="B106" s="1">
        <v>45972</v>
      </c>
      <c r="C106">
        <f>INT((B106-$B$2)/7)</f>
        <v>1</v>
      </c>
      <c r="D106" s="7">
        <v>4.7E-2</v>
      </c>
      <c r="E106" s="4">
        <v>2000</v>
      </c>
      <c r="F106" s="6">
        <f>E106*D106</f>
        <v>94</v>
      </c>
    </row>
    <row r="107" spans="1:6" x14ac:dyDescent="0.25">
      <c r="A107" t="s">
        <v>263</v>
      </c>
      <c r="B107" s="1">
        <v>45973</v>
      </c>
      <c r="C107">
        <f>INT((B107-$B$2)/7)</f>
        <v>1</v>
      </c>
      <c r="D107" s="7">
        <v>-0.1</v>
      </c>
      <c r="E107" s="4">
        <v>2000</v>
      </c>
      <c r="F107" s="6">
        <f>E107*D107</f>
        <v>-200</v>
      </c>
    </row>
    <row r="108" spans="1:6" x14ac:dyDescent="0.25">
      <c r="A108" t="s">
        <v>265</v>
      </c>
      <c r="B108" s="1">
        <v>45973</v>
      </c>
      <c r="C108">
        <f>INT((B108-$B$2)/7)</f>
        <v>1</v>
      </c>
      <c r="D108" s="7">
        <v>0.151</v>
      </c>
      <c r="E108" s="4">
        <v>2000</v>
      </c>
      <c r="F108" s="6">
        <f>E108*D108</f>
        <v>302</v>
      </c>
    </row>
    <row r="109" spans="1:6" x14ac:dyDescent="0.25">
      <c r="A109" t="s">
        <v>261</v>
      </c>
      <c r="B109" s="1">
        <v>45973</v>
      </c>
      <c r="C109">
        <f>INT((B109-$B$2)/7)</f>
        <v>1</v>
      </c>
      <c r="D109" s="7">
        <v>-4.2999999999999997E-2</v>
      </c>
      <c r="E109" s="4">
        <v>2000</v>
      </c>
      <c r="F109" s="6">
        <f>E109*D109</f>
        <v>-86</v>
      </c>
    </row>
    <row r="110" spans="1:6" x14ac:dyDescent="0.25">
      <c r="A110" t="s">
        <v>259</v>
      </c>
      <c r="B110" s="1">
        <v>45973</v>
      </c>
      <c r="C110">
        <f>INT((B110-$B$2)/7)</f>
        <v>1</v>
      </c>
      <c r="D110" s="7">
        <v>0</v>
      </c>
      <c r="E110" s="4">
        <v>2000</v>
      </c>
      <c r="F110" s="6">
        <f>E110*D110</f>
        <v>0</v>
      </c>
    </row>
    <row r="111" spans="1:6" x14ac:dyDescent="0.25">
      <c r="A111" t="s">
        <v>255</v>
      </c>
      <c r="B111" s="1">
        <v>45973</v>
      </c>
      <c r="C111">
        <f>INT((B111-$B$2)/7)</f>
        <v>1</v>
      </c>
      <c r="D111" s="7">
        <v>-5.8999999999999997E-2</v>
      </c>
      <c r="E111" s="4">
        <v>2000</v>
      </c>
      <c r="F111" s="6">
        <f>E111*D111</f>
        <v>-118</v>
      </c>
    </row>
    <row r="112" spans="1:6" x14ac:dyDescent="0.25">
      <c r="A112" t="s">
        <v>257</v>
      </c>
      <c r="B112" s="1">
        <v>45973</v>
      </c>
      <c r="C112">
        <f>INT((B112-$B$2)/7)</f>
        <v>1</v>
      </c>
      <c r="D112" s="7">
        <v>-7.0000000000000001E-3</v>
      </c>
      <c r="E112" s="4">
        <v>2000</v>
      </c>
      <c r="F112" s="6">
        <f>E112*D112</f>
        <v>-14</v>
      </c>
    </row>
    <row r="113" spans="1:6" x14ac:dyDescent="0.25">
      <c r="A113" t="s">
        <v>275</v>
      </c>
      <c r="B113" s="1">
        <v>45974</v>
      </c>
      <c r="C113">
        <f>INT((B113-$B$2)/7)</f>
        <v>1</v>
      </c>
      <c r="E113" s="4">
        <v>2000</v>
      </c>
      <c r="F113" s="6">
        <f>E113*D113</f>
        <v>0</v>
      </c>
    </row>
    <row r="114" spans="1:6" x14ac:dyDescent="0.25">
      <c r="A114" t="s">
        <v>277</v>
      </c>
      <c r="B114" s="1">
        <v>45974</v>
      </c>
      <c r="C114">
        <f>INT((B114-$B$2)/7)</f>
        <v>1</v>
      </c>
      <c r="D114" s="7">
        <v>0.02</v>
      </c>
      <c r="E114" s="4">
        <v>2000</v>
      </c>
      <c r="F114" s="6">
        <f>E114*D114</f>
        <v>40</v>
      </c>
    </row>
    <row r="115" spans="1:6" x14ac:dyDescent="0.25">
      <c r="A115" t="s">
        <v>284</v>
      </c>
      <c r="B115" s="1">
        <v>45974</v>
      </c>
      <c r="C115">
        <f>INT((B115-$B$2)/7)</f>
        <v>1</v>
      </c>
      <c r="D115" s="7">
        <v>4.8000000000000001E-2</v>
      </c>
      <c r="E115" s="4">
        <v>2000</v>
      </c>
      <c r="F115" s="6">
        <f>E115*D115</f>
        <v>96</v>
      </c>
    </row>
    <row r="116" spans="1:6" x14ac:dyDescent="0.25">
      <c r="A116" t="s">
        <v>280</v>
      </c>
      <c r="B116" s="1">
        <v>45974</v>
      </c>
      <c r="C116">
        <f>INT((B116-$B$2)/7)</f>
        <v>1</v>
      </c>
      <c r="D116" s="7">
        <v>0.01</v>
      </c>
      <c r="E116" s="4">
        <v>2000</v>
      </c>
      <c r="F116" s="6">
        <f>E116*D116</f>
        <v>20</v>
      </c>
    </row>
    <row r="117" spans="1:6" x14ac:dyDescent="0.25">
      <c r="A117" t="s">
        <v>269</v>
      </c>
      <c r="B117" s="1">
        <v>45974</v>
      </c>
      <c r="C117">
        <f>INT((B117-$B$2)/7)</f>
        <v>1</v>
      </c>
      <c r="D117" s="7">
        <v>-0.22500000000000001</v>
      </c>
      <c r="E117" s="4">
        <v>2000</v>
      </c>
      <c r="F117" s="6">
        <f>E117*D117</f>
        <v>-450</v>
      </c>
    </row>
    <row r="118" spans="1:6" x14ac:dyDescent="0.25">
      <c r="A118" t="s">
        <v>282</v>
      </c>
      <c r="B118" s="1">
        <v>45974</v>
      </c>
      <c r="C118">
        <f>INT((B118-$B$2)/7)</f>
        <v>1</v>
      </c>
      <c r="D118" s="7">
        <v>-7.8E-2</v>
      </c>
      <c r="E118" s="4">
        <v>2000</v>
      </c>
      <c r="F118" s="6">
        <f>E118*D118</f>
        <v>-156</v>
      </c>
    </row>
    <row r="119" spans="1:6" x14ac:dyDescent="0.25">
      <c r="A119" t="s">
        <v>267</v>
      </c>
      <c r="B119" s="1">
        <v>45974</v>
      </c>
      <c r="C119">
        <f>INT((B119-$B$2)/7)</f>
        <v>1</v>
      </c>
      <c r="D119" s="7">
        <v>-6.8000000000000005E-2</v>
      </c>
      <c r="E119" s="4">
        <v>2000</v>
      </c>
      <c r="F119" s="6">
        <f>E119*D119</f>
        <v>-136</v>
      </c>
    </row>
    <row r="120" spans="1:6" x14ac:dyDescent="0.25">
      <c r="A120" t="s">
        <v>273</v>
      </c>
      <c r="B120" s="1">
        <v>45974</v>
      </c>
      <c r="C120">
        <f>INT((B120-$B$2)/7)</f>
        <v>1</v>
      </c>
      <c r="D120" s="7">
        <v>1.0999999999999999E-2</v>
      </c>
      <c r="E120" s="4">
        <v>2000</v>
      </c>
      <c r="F120" s="6">
        <f>E120*D120</f>
        <v>22</v>
      </c>
    </row>
    <row r="121" spans="1:6" x14ac:dyDescent="0.25">
      <c r="A121" t="s">
        <v>271</v>
      </c>
      <c r="B121" s="1">
        <v>45974</v>
      </c>
      <c r="C121">
        <f>INT((B121-$B$2)/7)</f>
        <v>1</v>
      </c>
      <c r="D121" s="7">
        <v>3.5999999999999997E-2</v>
      </c>
      <c r="E121" s="4">
        <v>2000</v>
      </c>
      <c r="F121" s="6">
        <f>E121*D121</f>
        <v>72</v>
      </c>
    </row>
    <row r="122" spans="1:6" x14ac:dyDescent="0.25">
      <c r="A122" t="s">
        <v>288</v>
      </c>
      <c r="B122" s="1">
        <v>45975</v>
      </c>
      <c r="C122">
        <f>INT((B122-$B$2)/7)</f>
        <v>1</v>
      </c>
      <c r="D122" s="7">
        <v>-0.122</v>
      </c>
      <c r="E122" s="4">
        <v>2000</v>
      </c>
      <c r="F122" s="6">
        <f>E122*D122</f>
        <v>-244</v>
      </c>
    </row>
    <row r="123" spans="1:6" x14ac:dyDescent="0.25">
      <c r="A123" t="s">
        <v>290</v>
      </c>
      <c r="B123" s="1">
        <v>45975</v>
      </c>
      <c r="C123">
        <f>INT((B123-$B$2)/7)</f>
        <v>1</v>
      </c>
      <c r="D123" s="7">
        <v>-3.7999999999999999E-2</v>
      </c>
      <c r="E123" s="4">
        <v>2000</v>
      </c>
      <c r="F123" s="6">
        <f>E123*D123</f>
        <v>-76</v>
      </c>
    </row>
    <row r="124" spans="1:6" x14ac:dyDescent="0.25">
      <c r="A124" t="s">
        <v>292</v>
      </c>
      <c r="B124" s="1">
        <v>45975</v>
      </c>
      <c r="C124">
        <f>INT((B124-$B$2)/7)</f>
        <v>1</v>
      </c>
      <c r="D124" s="7">
        <v>-2.7E-2</v>
      </c>
      <c r="E124" s="4">
        <v>2000</v>
      </c>
      <c r="F124" s="6">
        <f>E124*D124</f>
        <v>-54</v>
      </c>
    </row>
    <row r="125" spans="1:6" x14ac:dyDescent="0.25">
      <c r="A125" t="s">
        <v>286</v>
      </c>
      <c r="B125" s="1">
        <v>45975</v>
      </c>
      <c r="C125">
        <f>INT((B125-$B$2)/7)</f>
        <v>1</v>
      </c>
      <c r="D125" s="7">
        <v>6.0000000000000001E-3</v>
      </c>
      <c r="E125" s="4">
        <v>2000</v>
      </c>
      <c r="F125" s="6">
        <f>E125*D125</f>
        <v>12</v>
      </c>
    </row>
    <row r="126" spans="1:6" x14ac:dyDescent="0.25">
      <c r="A126" t="s">
        <v>294</v>
      </c>
      <c r="B126" s="1">
        <v>45978</v>
      </c>
      <c r="C126">
        <f>INT((B126-$B$2)/7)</f>
        <v>2</v>
      </c>
      <c r="D126" s="7">
        <v>-4.5999999999999999E-2</v>
      </c>
      <c r="E126" s="4">
        <v>2000</v>
      </c>
      <c r="F126" s="6">
        <f>E126*D126</f>
        <v>-92</v>
      </c>
    </row>
    <row r="127" spans="1:6" x14ac:dyDescent="0.25">
      <c r="A127" t="s">
        <v>296</v>
      </c>
      <c r="B127" s="1">
        <v>45978</v>
      </c>
      <c r="C127">
        <f>INT((B127-$B$2)/7)</f>
        <v>2</v>
      </c>
      <c r="D127" s="7">
        <v>2.7E-2</v>
      </c>
      <c r="E127" s="4">
        <v>2000</v>
      </c>
      <c r="F127" s="6">
        <f>E127*D127</f>
        <v>54</v>
      </c>
    </row>
    <row r="128" spans="1:6" x14ac:dyDescent="0.25">
      <c r="A128" t="s">
        <v>300</v>
      </c>
      <c r="B128" s="1">
        <v>45978</v>
      </c>
      <c r="C128">
        <f>INT((B128-$B$2)/7)</f>
        <v>2</v>
      </c>
      <c r="D128" s="7">
        <v>-1.9E-2</v>
      </c>
      <c r="E128" s="4">
        <v>2000</v>
      </c>
      <c r="F128" s="6">
        <f>E128*D128</f>
        <v>-38</v>
      </c>
    </row>
    <row r="129" spans="1:6" x14ac:dyDescent="0.25">
      <c r="A129" t="s">
        <v>298</v>
      </c>
      <c r="B129" s="1">
        <v>45978</v>
      </c>
      <c r="C129">
        <f>INT((B129-$B$2)/7)</f>
        <v>2</v>
      </c>
      <c r="D129" s="7">
        <v>1.6E-2</v>
      </c>
      <c r="E129" s="4">
        <v>2000</v>
      </c>
      <c r="F129" s="6">
        <f>E129*D129</f>
        <v>32</v>
      </c>
    </row>
    <row r="130" spans="1:6" x14ac:dyDescent="0.25">
      <c r="A130" t="s">
        <v>306</v>
      </c>
      <c r="B130" s="1">
        <v>45979</v>
      </c>
      <c r="C130">
        <f>INT((B130-$B$2)/7)</f>
        <v>2</v>
      </c>
      <c r="D130" s="7">
        <v>-5.5E-2</v>
      </c>
      <c r="E130" s="4">
        <v>2000</v>
      </c>
      <c r="F130" s="6">
        <f>E130*D130</f>
        <v>-110</v>
      </c>
    </row>
    <row r="131" spans="1:6" x14ac:dyDescent="0.25">
      <c r="A131" t="s">
        <v>308</v>
      </c>
      <c r="B131" s="1">
        <v>45979</v>
      </c>
      <c r="C131">
        <f>INT((B131-$B$2)/7)</f>
        <v>2</v>
      </c>
      <c r="D131" s="7">
        <v>2.9000000000000001E-2</v>
      </c>
      <c r="E131" s="4">
        <v>2000</v>
      </c>
      <c r="F131" s="6">
        <f>E131*D131</f>
        <v>58</v>
      </c>
    </row>
    <row r="132" spans="1:6" x14ac:dyDescent="0.25">
      <c r="A132" t="s">
        <v>302</v>
      </c>
      <c r="B132" s="1">
        <v>45979</v>
      </c>
      <c r="C132">
        <f>INT((B132-$B$2)/7)</f>
        <v>2</v>
      </c>
      <c r="D132" s="7">
        <v>-2E-3</v>
      </c>
      <c r="E132" s="4">
        <v>2000</v>
      </c>
      <c r="F132" s="6">
        <f>E132*D132</f>
        <v>-4</v>
      </c>
    </row>
    <row r="133" spans="1:6" x14ac:dyDescent="0.25">
      <c r="A133" t="s">
        <v>304</v>
      </c>
      <c r="B133" s="1">
        <v>45979</v>
      </c>
      <c r="C133">
        <f>INT((B133-$B$2)/7)</f>
        <v>2</v>
      </c>
      <c r="D133" s="7">
        <v>-7.0000000000000001E-3</v>
      </c>
      <c r="E133" s="4">
        <v>2000</v>
      </c>
      <c r="F133" s="6">
        <f>E133*D133</f>
        <v>-14</v>
      </c>
    </row>
    <row r="134" spans="1:6" x14ac:dyDescent="0.25">
      <c r="A134" t="s">
        <v>316</v>
      </c>
      <c r="B134" s="1">
        <v>45980</v>
      </c>
      <c r="C134">
        <f>INT((B134-$B$2)/7)</f>
        <v>2</v>
      </c>
      <c r="D134" s="7">
        <v>7.9000000000000001E-2</v>
      </c>
      <c r="E134" s="4">
        <v>2000</v>
      </c>
      <c r="F134" s="6">
        <f>E134*D134</f>
        <v>158</v>
      </c>
    </row>
    <row r="135" spans="1:6" x14ac:dyDescent="0.25">
      <c r="A135" t="s">
        <v>314</v>
      </c>
      <c r="B135" s="1">
        <v>45980</v>
      </c>
      <c r="C135">
        <f>INT((B135-$B$2)/7)</f>
        <v>2</v>
      </c>
      <c r="D135" s="7">
        <v>5.7000000000000002E-2</v>
      </c>
      <c r="E135" s="4">
        <v>2000</v>
      </c>
      <c r="F135" s="6">
        <f>E135*D135</f>
        <v>114</v>
      </c>
    </row>
    <row r="136" spans="1:6" x14ac:dyDescent="0.25">
      <c r="A136" t="s">
        <v>312</v>
      </c>
      <c r="B136" s="1">
        <v>45980</v>
      </c>
      <c r="C136">
        <f>INT((B136-$B$2)/7)</f>
        <v>2</v>
      </c>
      <c r="D136" s="7">
        <v>2.4E-2</v>
      </c>
      <c r="E136" s="4">
        <v>2000</v>
      </c>
      <c r="F136" s="6">
        <f>E136*D136</f>
        <v>48</v>
      </c>
    </row>
    <row r="137" spans="1:6" x14ac:dyDescent="0.25">
      <c r="A137" t="s">
        <v>310</v>
      </c>
      <c r="B137" s="1">
        <v>45980</v>
      </c>
      <c r="C137">
        <f>INT((B137-$B$2)/7)</f>
        <v>2</v>
      </c>
      <c r="D137" s="7">
        <v>0.91100000000000003</v>
      </c>
      <c r="E137" s="4">
        <v>2000</v>
      </c>
      <c r="F137" s="6">
        <f>E137*D137</f>
        <v>1822</v>
      </c>
    </row>
    <row r="138" spans="1:6" x14ac:dyDescent="0.25">
      <c r="A138" t="s">
        <v>318</v>
      </c>
      <c r="B138" s="1">
        <v>45981</v>
      </c>
      <c r="C138">
        <f>INT((B138-$B$2)/7)</f>
        <v>2</v>
      </c>
      <c r="D138" s="7">
        <v>-0.14099999999999999</v>
      </c>
      <c r="E138" s="4">
        <v>2000</v>
      </c>
      <c r="F138" s="6">
        <f>E138*D138</f>
        <v>-282</v>
      </c>
    </row>
    <row r="139" spans="1:6" x14ac:dyDescent="0.25">
      <c r="A139" t="s">
        <v>320</v>
      </c>
      <c r="B139" s="1">
        <v>45981</v>
      </c>
      <c r="C139">
        <f>INT((B139-$B$2)/7)</f>
        <v>2</v>
      </c>
      <c r="D139" s="7">
        <v>0.17399999999999999</v>
      </c>
      <c r="E139" s="4">
        <v>2000</v>
      </c>
      <c r="F139" s="6">
        <f>E139*D139</f>
        <v>348</v>
      </c>
    </row>
    <row r="140" spans="1:6" x14ac:dyDescent="0.25">
      <c r="A140" t="s">
        <v>323</v>
      </c>
      <c r="B140" s="1">
        <v>45981</v>
      </c>
      <c r="C140">
        <f>INT((B140-$B$2)/7)</f>
        <v>2</v>
      </c>
      <c r="D140" s="7">
        <v>0.219</v>
      </c>
      <c r="E140" s="4">
        <v>2000</v>
      </c>
      <c r="F140" s="6">
        <f>E140*D140</f>
        <v>438</v>
      </c>
    </row>
    <row r="141" spans="1:6" x14ac:dyDescent="0.25">
      <c r="A141" t="s">
        <v>325</v>
      </c>
      <c r="B141" s="1">
        <v>45981</v>
      </c>
      <c r="C141">
        <f>INT((B141-$B$2)/7)</f>
        <v>2</v>
      </c>
      <c r="D141" s="7">
        <v>0.126</v>
      </c>
      <c r="E141" s="4">
        <v>2000</v>
      </c>
      <c r="F141" s="6">
        <f>E141*D141</f>
        <v>252</v>
      </c>
    </row>
    <row r="142" spans="1:6" x14ac:dyDescent="0.25">
      <c r="A142" t="s">
        <v>327</v>
      </c>
      <c r="B142" s="1">
        <v>45982</v>
      </c>
      <c r="C142">
        <f>INT((B142-$B$2)/7)</f>
        <v>2</v>
      </c>
      <c r="D142" s="7">
        <v>-4.2000000000000003E-2</v>
      </c>
      <c r="E142" s="4">
        <v>2000</v>
      </c>
      <c r="F142" s="6">
        <f>E142*D142</f>
        <v>-84</v>
      </c>
    </row>
    <row r="143" spans="1:6" x14ac:dyDescent="0.25">
      <c r="A143" t="s">
        <v>329</v>
      </c>
      <c r="B143" s="1">
        <v>45985</v>
      </c>
      <c r="C143">
        <f>INT((B143-$B$2)/7)</f>
        <v>3</v>
      </c>
      <c r="D143" s="7">
        <v>0.13200000000000001</v>
      </c>
      <c r="E143" s="4">
        <v>2000</v>
      </c>
      <c r="F143" s="6">
        <f>E143*D143</f>
        <v>264</v>
      </c>
    </row>
    <row r="144" spans="1:6" x14ac:dyDescent="0.25">
      <c r="A144" t="s">
        <v>331</v>
      </c>
      <c r="B144" s="1">
        <v>45985</v>
      </c>
      <c r="C144">
        <f>INT((B144-$B$2)/7)</f>
        <v>3</v>
      </c>
      <c r="D144" s="7">
        <v>7.5999999999999998E-2</v>
      </c>
      <c r="E144" s="4">
        <v>2000</v>
      </c>
      <c r="F144" s="6">
        <f>E144*D144</f>
        <v>152</v>
      </c>
    </row>
    <row r="145" spans="1:6" x14ac:dyDescent="0.25">
      <c r="A145" t="s">
        <v>333</v>
      </c>
      <c r="B145" s="1">
        <v>45985</v>
      </c>
      <c r="C145">
        <f>INT((B145-$B$2)/7)</f>
        <v>3</v>
      </c>
      <c r="D145" s="7">
        <v>-0.24</v>
      </c>
      <c r="E145" s="4">
        <v>2000</v>
      </c>
      <c r="F145" s="6">
        <f>E145*D145</f>
        <v>-480</v>
      </c>
    </row>
    <row r="146" spans="1:6" x14ac:dyDescent="0.25">
      <c r="A146" t="s">
        <v>337</v>
      </c>
      <c r="B146" s="1">
        <v>45986</v>
      </c>
      <c r="C146">
        <f>INT((B146-$B$2)/7)</f>
        <v>3</v>
      </c>
      <c r="D146" s="7">
        <v>7.0000000000000001E-3</v>
      </c>
      <c r="E146" s="4">
        <v>2000</v>
      </c>
      <c r="F146" s="6">
        <f>E146*D146</f>
        <v>14</v>
      </c>
    </row>
    <row r="147" spans="1:6" x14ac:dyDescent="0.25">
      <c r="A147" t="s">
        <v>335</v>
      </c>
      <c r="B147" s="1">
        <v>45986</v>
      </c>
      <c r="C147">
        <f>INT((B147-$B$2)/7)</f>
        <v>3</v>
      </c>
      <c r="D147" s="7">
        <v>0.46</v>
      </c>
      <c r="E147" s="4">
        <v>2000</v>
      </c>
      <c r="F147" s="6">
        <f>E147*D147</f>
        <v>920</v>
      </c>
    </row>
    <row r="148" spans="1:6" x14ac:dyDescent="0.25">
      <c r="A148" t="s">
        <v>341</v>
      </c>
      <c r="B148" s="1">
        <v>45986</v>
      </c>
      <c r="C148">
        <f>INT((B148-$B$2)/7)</f>
        <v>3</v>
      </c>
      <c r="D148" s="7">
        <v>0.01</v>
      </c>
      <c r="E148" s="4">
        <v>2000</v>
      </c>
      <c r="F148" s="6">
        <f>E148*D148</f>
        <v>20</v>
      </c>
    </row>
    <row r="149" spans="1:6" x14ac:dyDescent="0.25">
      <c r="A149" t="s">
        <v>339</v>
      </c>
      <c r="B149" s="1">
        <v>45986</v>
      </c>
      <c r="C149">
        <f>INT((B149-$B$2)/7)</f>
        <v>3</v>
      </c>
      <c r="D149" s="7">
        <v>0.09</v>
      </c>
      <c r="E149" s="4">
        <v>2000</v>
      </c>
      <c r="F149" s="6">
        <f>E149*D149</f>
        <v>180</v>
      </c>
    </row>
    <row r="150" spans="1:6" x14ac:dyDescent="0.25">
      <c r="A150" t="s">
        <v>343</v>
      </c>
      <c r="B150" s="1">
        <v>45987</v>
      </c>
      <c r="C150">
        <f>INT((B150-$B$2)/7)</f>
        <v>3</v>
      </c>
      <c r="D150" s="7">
        <v>7.6999999999999999E-2</v>
      </c>
      <c r="E150" s="4">
        <v>2000</v>
      </c>
      <c r="F150" s="6">
        <f>E150*D150</f>
        <v>154</v>
      </c>
    </row>
    <row r="151" spans="1:6" x14ac:dyDescent="0.25">
      <c r="A151" t="s">
        <v>345</v>
      </c>
      <c r="B151" s="1">
        <v>45993</v>
      </c>
      <c r="C151">
        <f>INT((B151-$B$2)/7)</f>
        <v>4</v>
      </c>
      <c r="D151" s="7">
        <v>0.14799999999999999</v>
      </c>
      <c r="E151" s="4">
        <v>2000</v>
      </c>
      <c r="F151" s="6">
        <f>E151*D151</f>
        <v>296</v>
      </c>
    </row>
    <row r="152" spans="1:6" x14ac:dyDescent="0.25">
      <c r="A152" t="s">
        <v>347</v>
      </c>
      <c r="B152" s="1">
        <v>45994</v>
      </c>
      <c r="C152">
        <f>INT((B152-$B$2)/7)</f>
        <v>4</v>
      </c>
      <c r="D152" s="7">
        <v>-7.8E-2</v>
      </c>
      <c r="E152" s="4">
        <v>2000</v>
      </c>
      <c r="F152" s="6">
        <f>E152*D152</f>
        <v>-156</v>
      </c>
    </row>
    <row r="153" spans="1:6" x14ac:dyDescent="0.25">
      <c r="A153" t="s">
        <v>349</v>
      </c>
      <c r="B153" s="1">
        <v>45994</v>
      </c>
      <c r="C153">
        <f>INT((B153-$B$2)/7)</f>
        <v>4</v>
      </c>
      <c r="D153" s="7">
        <v>8.5999999999999993E-2</v>
      </c>
      <c r="E153" s="4">
        <v>2000</v>
      </c>
      <c r="F153" s="6">
        <f>E153*D153</f>
        <v>172</v>
      </c>
    </row>
    <row r="154" spans="1:6" x14ac:dyDescent="0.25">
      <c r="A154" t="s">
        <v>353</v>
      </c>
      <c r="B154" s="1">
        <v>45995</v>
      </c>
      <c r="C154">
        <f>INT((B154-$B$2)/7)</f>
        <v>4</v>
      </c>
      <c r="D154" s="7">
        <v>-0.313</v>
      </c>
      <c r="E154" s="4">
        <v>2000</v>
      </c>
      <c r="F154" s="6">
        <f>E154*D154</f>
        <v>-626</v>
      </c>
    </row>
    <row r="155" spans="1:6" x14ac:dyDescent="0.25">
      <c r="A155" t="s">
        <v>355</v>
      </c>
      <c r="B155" s="1">
        <v>45995</v>
      </c>
      <c r="C155">
        <f>INT((B155-$B$2)/7)</f>
        <v>4</v>
      </c>
      <c r="E155" s="4">
        <v>2000</v>
      </c>
      <c r="F155" s="6">
        <f>E155*D155</f>
        <v>0</v>
      </c>
    </row>
    <row r="156" spans="1:6" x14ac:dyDescent="0.25">
      <c r="A156" t="s">
        <v>351</v>
      </c>
      <c r="B156" s="1">
        <v>45995</v>
      </c>
      <c r="C156">
        <f>INT((B156-$B$2)/7)</f>
        <v>4</v>
      </c>
      <c r="D156" s="7">
        <v>0.20699999999999999</v>
      </c>
      <c r="E156" s="4">
        <v>2000</v>
      </c>
      <c r="F156" s="6">
        <f>E156*D156</f>
        <v>414</v>
      </c>
    </row>
    <row r="157" spans="1:6" x14ac:dyDescent="0.25">
      <c r="A157" t="s">
        <v>363</v>
      </c>
      <c r="B157" s="1">
        <v>45999</v>
      </c>
      <c r="C157">
        <f>INT((B157-$B$2)/7)</f>
        <v>5</v>
      </c>
      <c r="D157" s="7">
        <v>0.215</v>
      </c>
      <c r="E157" s="4">
        <v>2000</v>
      </c>
      <c r="F157" s="6">
        <f>E157*D157</f>
        <v>430</v>
      </c>
    </row>
    <row r="158" spans="1:6" x14ac:dyDescent="0.25">
      <c r="A158" t="s">
        <v>361</v>
      </c>
      <c r="B158" s="1">
        <v>45999</v>
      </c>
      <c r="C158">
        <f>INT((B158-$B$2)/7)</f>
        <v>5</v>
      </c>
      <c r="D158" s="7">
        <v>3.1E-2</v>
      </c>
      <c r="E158" s="4">
        <v>2000</v>
      </c>
      <c r="F158" s="6">
        <f>E158*D158</f>
        <v>62</v>
      </c>
    </row>
    <row r="159" spans="1:6" x14ac:dyDescent="0.25">
      <c r="A159" t="s">
        <v>357</v>
      </c>
      <c r="B159" s="1">
        <v>45999</v>
      </c>
      <c r="C159">
        <f>INT((B159-$B$2)/7)</f>
        <v>5</v>
      </c>
      <c r="D159" s="7">
        <v>-5.7000000000000002E-2</v>
      </c>
      <c r="E159" s="4">
        <v>2000</v>
      </c>
      <c r="F159" s="6">
        <f>E159*D159</f>
        <v>-114</v>
      </c>
    </row>
    <row r="160" spans="1:6" x14ac:dyDescent="0.25">
      <c r="A160" t="s">
        <v>359</v>
      </c>
      <c r="B160" s="1">
        <v>45999</v>
      </c>
      <c r="C160">
        <f>INT((B160-$B$2)/7)</f>
        <v>5</v>
      </c>
      <c r="D160" s="7">
        <v>-0.10199999999999999</v>
      </c>
      <c r="E160" s="4">
        <v>2000</v>
      </c>
      <c r="F160" s="6">
        <f>E160*D160</f>
        <v>-204</v>
      </c>
    </row>
    <row r="161" spans="1:6" x14ac:dyDescent="0.25">
      <c r="A161" t="s">
        <v>365</v>
      </c>
      <c r="B161" s="1">
        <v>46000</v>
      </c>
      <c r="C161">
        <f>INT((B161-$B$2)/7)</f>
        <v>5</v>
      </c>
      <c r="D161" s="7">
        <v>0.107</v>
      </c>
      <c r="E161" s="4">
        <v>2000</v>
      </c>
      <c r="F161" s="6">
        <f>E161*D161</f>
        <v>214</v>
      </c>
    </row>
    <row r="162" spans="1:6" x14ac:dyDescent="0.25">
      <c r="A162" t="s">
        <v>367</v>
      </c>
      <c r="B162" s="1">
        <v>46000</v>
      </c>
      <c r="C162">
        <f>INT((B162-$B$2)/7)</f>
        <v>5</v>
      </c>
      <c r="D162" s="7">
        <v>-1.9E-2</v>
      </c>
      <c r="E162" s="4">
        <v>2000</v>
      </c>
      <c r="F162" s="6">
        <f>E162*D162</f>
        <v>-38</v>
      </c>
    </row>
    <row r="163" spans="1:6" x14ac:dyDescent="0.25">
      <c r="A163" t="s">
        <v>373</v>
      </c>
      <c r="B163" s="1">
        <v>46001</v>
      </c>
      <c r="C163">
        <f>INT((B163-$B$2)/7)</f>
        <v>5</v>
      </c>
      <c r="D163" s="7">
        <v>0.30499999999999999</v>
      </c>
      <c r="E163" s="4">
        <v>2000</v>
      </c>
      <c r="F163" s="6">
        <f>E163*D163</f>
        <v>610</v>
      </c>
    </row>
    <row r="164" spans="1:6" x14ac:dyDescent="0.25">
      <c r="A164" t="s">
        <v>369</v>
      </c>
      <c r="B164" s="1">
        <v>46001</v>
      </c>
      <c r="C164">
        <f>INT((B164-$B$2)/7)</f>
        <v>5</v>
      </c>
      <c r="D164" s="7">
        <v>0.14399999999999999</v>
      </c>
      <c r="E164" s="4">
        <v>2000</v>
      </c>
      <c r="F164" s="6">
        <f>E164*D164</f>
        <v>288</v>
      </c>
    </row>
    <row r="165" spans="1:6" x14ac:dyDescent="0.25">
      <c r="A165" t="s">
        <v>371</v>
      </c>
      <c r="B165" s="1">
        <v>46001</v>
      </c>
      <c r="C165">
        <f>INT((B165-$B$2)/7)</f>
        <v>5</v>
      </c>
      <c r="D165" s="7">
        <v>0.28299999999999997</v>
      </c>
      <c r="E165" s="4">
        <v>2000</v>
      </c>
      <c r="F165" s="6">
        <f>E165*D165</f>
        <v>566</v>
      </c>
    </row>
    <row r="166" spans="1:6" x14ac:dyDescent="0.25">
      <c r="A166" t="s">
        <v>377</v>
      </c>
      <c r="B166" s="1">
        <v>46002</v>
      </c>
      <c r="C166">
        <f>INT((B166-$B$2)/7)</f>
        <v>5</v>
      </c>
      <c r="D166" s="7">
        <v>-0.02</v>
      </c>
      <c r="E166" s="4">
        <v>2000</v>
      </c>
      <c r="F166" s="6">
        <f>E166*D166</f>
        <v>-40</v>
      </c>
    </row>
    <row r="167" spans="1:6" x14ac:dyDescent="0.25">
      <c r="A167" t="s">
        <v>375</v>
      </c>
      <c r="B167" s="1">
        <v>46002</v>
      </c>
      <c r="C167">
        <f>INT((B167-$B$2)/7)</f>
        <v>5</v>
      </c>
      <c r="D167" s="7">
        <v>-4.9000000000000002E-2</v>
      </c>
      <c r="E167" s="4">
        <v>2000</v>
      </c>
      <c r="F167" s="6">
        <f>E167*D167</f>
        <v>-98</v>
      </c>
    </row>
    <row r="168" spans="1:6" x14ac:dyDescent="0.25">
      <c r="A168" t="s">
        <v>379</v>
      </c>
      <c r="B168" s="1">
        <v>46003</v>
      </c>
      <c r="C168">
        <f>INT((B168-$B$2)/7)</f>
        <v>5</v>
      </c>
      <c r="D168" s="7">
        <v>0.55400000000000005</v>
      </c>
      <c r="E168" s="4">
        <v>2000</v>
      </c>
      <c r="F168" s="6">
        <f>E168*D168</f>
        <v>1108</v>
      </c>
    </row>
    <row r="169" spans="1:6" x14ac:dyDescent="0.25">
      <c r="A169" t="s">
        <v>381</v>
      </c>
      <c r="B169" s="1">
        <v>46006</v>
      </c>
      <c r="C169">
        <f>INT((B169-$B$2)/7)</f>
        <v>6</v>
      </c>
      <c r="D169" s="7">
        <v>0.35199999999999998</v>
      </c>
      <c r="E169" s="4">
        <v>2000</v>
      </c>
      <c r="F169" s="6">
        <f>E169*D169</f>
        <v>704</v>
      </c>
    </row>
    <row r="170" spans="1:6" x14ac:dyDescent="0.25">
      <c r="A170" t="s">
        <v>383</v>
      </c>
      <c r="B170" s="1">
        <v>46007</v>
      </c>
      <c r="C170">
        <f>INT((B170-$B$2)/7)</f>
        <v>6</v>
      </c>
      <c r="D170" s="7">
        <v>-3.3000000000000002E-2</v>
      </c>
      <c r="E170" s="4">
        <v>2000</v>
      </c>
      <c r="F170" s="6">
        <f>E170*D170</f>
        <v>-66</v>
      </c>
    </row>
    <row r="171" spans="1:6" x14ac:dyDescent="0.25">
      <c r="A171" t="s">
        <v>385</v>
      </c>
      <c r="B171" s="1">
        <v>46007</v>
      </c>
      <c r="C171">
        <f>INT((B171-$B$2)/7)</f>
        <v>6</v>
      </c>
      <c r="D171" s="7">
        <v>-0.13</v>
      </c>
      <c r="E171" s="4">
        <v>2000</v>
      </c>
      <c r="F171" s="6">
        <f>E171*D171</f>
        <v>-260</v>
      </c>
    </row>
    <row r="172" spans="1:6" x14ac:dyDescent="0.25">
      <c r="A172" t="s">
        <v>389</v>
      </c>
      <c r="B172" s="1">
        <v>46008</v>
      </c>
      <c r="C172">
        <f>INT((B172-$B$2)/7)</f>
        <v>6</v>
      </c>
      <c r="D172" s="7">
        <v>0.10299999999999999</v>
      </c>
      <c r="E172" s="4">
        <v>2000</v>
      </c>
      <c r="F172" s="6">
        <f>E172*D172</f>
        <v>206</v>
      </c>
    </row>
    <row r="173" spans="1:6" x14ac:dyDescent="0.25">
      <c r="A173" t="s">
        <v>387</v>
      </c>
      <c r="B173" s="1">
        <v>46008</v>
      </c>
      <c r="C173">
        <f>INT((B173-$B$2)/7)</f>
        <v>6</v>
      </c>
      <c r="D173" s="7">
        <v>-7.8E-2</v>
      </c>
      <c r="E173" s="4">
        <v>2000</v>
      </c>
      <c r="F173" s="6">
        <f>E173*D173</f>
        <v>-156</v>
      </c>
    </row>
    <row r="174" spans="1:6" x14ac:dyDescent="0.25">
      <c r="A174" t="s">
        <v>391</v>
      </c>
      <c r="B174" s="1">
        <v>46008</v>
      </c>
      <c r="C174">
        <f>INT((B174-$B$2)/7)</f>
        <v>6</v>
      </c>
      <c r="D174" s="7">
        <v>3.3000000000000002E-2</v>
      </c>
      <c r="E174" s="4">
        <v>2000</v>
      </c>
      <c r="F174" s="6">
        <f>E174*D174</f>
        <v>66</v>
      </c>
    </row>
    <row r="175" spans="1:6" x14ac:dyDescent="0.25">
      <c r="A175" t="s">
        <v>395</v>
      </c>
      <c r="B175" s="1">
        <v>46009</v>
      </c>
      <c r="C175">
        <f>INT((B175-$B$2)/7)</f>
        <v>6</v>
      </c>
      <c r="D175" s="7">
        <v>-8.6999999999999994E-2</v>
      </c>
      <c r="E175" s="4">
        <v>2000</v>
      </c>
      <c r="F175" s="6">
        <f>E175*D175</f>
        <v>-174</v>
      </c>
    </row>
    <row r="176" spans="1:6" x14ac:dyDescent="0.25">
      <c r="A176" t="s">
        <v>397</v>
      </c>
      <c r="B176" s="1">
        <v>46009</v>
      </c>
      <c r="C176">
        <f>INT((B176-$B$2)/7)</f>
        <v>6</v>
      </c>
      <c r="D176" s="7">
        <v>0.76500000000000001</v>
      </c>
      <c r="E176" s="4">
        <v>2000</v>
      </c>
      <c r="F176" s="6">
        <f>E176*D176</f>
        <v>1530</v>
      </c>
    </row>
    <row r="177" spans="1:6" x14ac:dyDescent="0.25">
      <c r="A177" t="s">
        <v>393</v>
      </c>
      <c r="B177" s="1">
        <v>46009</v>
      </c>
      <c r="C177">
        <f>INT((B177-$B$2)/7)</f>
        <v>6</v>
      </c>
      <c r="D177" s="7">
        <v>-0.47299999999999998</v>
      </c>
      <c r="E177" s="4">
        <v>2000</v>
      </c>
      <c r="F177" s="6">
        <f>E177*D177</f>
        <v>-946</v>
      </c>
    </row>
    <row r="178" spans="1:6" x14ac:dyDescent="0.25">
      <c r="A178" t="s">
        <v>399</v>
      </c>
      <c r="B178" s="1">
        <v>46013</v>
      </c>
      <c r="C178">
        <f>INT((B178-$B$2)/7)</f>
        <v>7</v>
      </c>
      <c r="D178" s="7">
        <v>1.4E-2</v>
      </c>
      <c r="E178" s="4">
        <v>2000</v>
      </c>
      <c r="F178" s="6">
        <f>E178*D178</f>
        <v>28</v>
      </c>
    </row>
    <row r="179" spans="1:6" x14ac:dyDescent="0.25">
      <c r="A179" t="s">
        <v>401</v>
      </c>
      <c r="B179" s="1">
        <v>46028.666666666664</v>
      </c>
      <c r="C179">
        <f>INT((B179-$B$2)/7)</f>
        <v>9</v>
      </c>
      <c r="D179" s="7">
        <v>9.1999999999999998E-2</v>
      </c>
      <c r="E179" s="4">
        <v>2000</v>
      </c>
      <c r="F179" s="6">
        <f>E179*D179</f>
        <v>184</v>
      </c>
    </row>
    <row r="180" spans="1:6" x14ac:dyDescent="0.25">
      <c r="A180" t="s">
        <v>403</v>
      </c>
      <c r="B180" s="1">
        <v>46029.666666666664</v>
      </c>
      <c r="C180">
        <f>INT((B180-$B$2)/7)</f>
        <v>9</v>
      </c>
      <c r="D180" s="7">
        <v>-8.1000000000000003E-2</v>
      </c>
      <c r="E180" s="4">
        <v>2000</v>
      </c>
      <c r="F180" s="6">
        <f>E180*D180</f>
        <v>-162</v>
      </c>
    </row>
    <row r="181" spans="1:6" x14ac:dyDescent="0.25">
      <c r="A181" t="s">
        <v>405</v>
      </c>
      <c r="B181" s="1">
        <v>46030</v>
      </c>
      <c r="C181">
        <f>INT((B181-$B$2)/7)</f>
        <v>9</v>
      </c>
      <c r="D181" s="7">
        <v>1.0999999999999999E-2</v>
      </c>
      <c r="E181" s="4">
        <v>2000</v>
      </c>
      <c r="F181" s="6">
        <f>E181*D181</f>
        <v>22</v>
      </c>
    </row>
    <row r="182" spans="1:6" x14ac:dyDescent="0.25">
      <c r="A182" t="s">
        <v>407</v>
      </c>
      <c r="B182" s="1">
        <v>46030.354166666664</v>
      </c>
      <c r="C182">
        <f>INT((B182-$B$2)/7)</f>
        <v>9</v>
      </c>
      <c r="D182" s="7">
        <v>9.5000000000000001E-2</v>
      </c>
      <c r="E182" s="4">
        <v>2000</v>
      </c>
      <c r="F182" s="6">
        <f>E182*D182</f>
        <v>190</v>
      </c>
    </row>
    <row r="183" spans="1:6" x14ac:dyDescent="0.25">
      <c r="A183" t="s">
        <v>409</v>
      </c>
      <c r="B183" s="1">
        <v>46030.354166666664</v>
      </c>
      <c r="C183">
        <f>INT((B183-$B$2)/7)</f>
        <v>9</v>
      </c>
      <c r="D183" s="7">
        <v>-4.0000000000000001E-3</v>
      </c>
      <c r="E183" s="4">
        <v>2000</v>
      </c>
      <c r="F183" s="6">
        <f>E183*D183</f>
        <v>-8</v>
      </c>
    </row>
    <row r="184" spans="1:6" x14ac:dyDescent="0.25">
      <c r="A184" t="s">
        <v>411</v>
      </c>
      <c r="B184" s="1">
        <v>46034.354166666664</v>
      </c>
      <c r="C184">
        <f>INT((B184-$B$2)/7)</f>
        <v>10</v>
      </c>
      <c r="D184" s="7">
        <v>-4.4999999999999998E-2</v>
      </c>
      <c r="E184" s="4">
        <v>2000</v>
      </c>
      <c r="F184" s="6">
        <f>E184*D184</f>
        <v>-90</v>
      </c>
    </row>
    <row r="185" spans="1:6" x14ac:dyDescent="0.25">
      <c r="A185" t="s">
        <v>413</v>
      </c>
      <c r="B185" s="1">
        <v>46036.354166666664</v>
      </c>
      <c r="C185">
        <f>INT((B185-$B$2)/7)</f>
        <v>10</v>
      </c>
      <c r="D185" s="7">
        <v>0.22600000000000001</v>
      </c>
      <c r="E185" s="4">
        <v>2000</v>
      </c>
      <c r="F185" s="6">
        <f>E185*D185</f>
        <v>452</v>
      </c>
    </row>
    <row r="186" spans="1:6" x14ac:dyDescent="0.25">
      <c r="A186" t="s">
        <v>415</v>
      </c>
      <c r="B186" s="1">
        <v>46036.666666666664</v>
      </c>
      <c r="C186">
        <f>INT((B186-$B$2)/7)</f>
        <v>10</v>
      </c>
      <c r="D186" s="7">
        <v>0.32500000000000001</v>
      </c>
      <c r="E186" s="4">
        <v>2000</v>
      </c>
      <c r="F186" s="6">
        <f>E186*D186</f>
        <v>650</v>
      </c>
    </row>
    <row r="187" spans="1:6" x14ac:dyDescent="0.25">
      <c r="A187" t="s">
        <v>417</v>
      </c>
      <c r="B187" s="1">
        <v>46037.354166666664</v>
      </c>
      <c r="C187">
        <f>INT((B187-$B$2)/7)</f>
        <v>10</v>
      </c>
      <c r="D187" s="7">
        <v>3.5000000000000003E-2</v>
      </c>
      <c r="E187" s="4">
        <v>2000</v>
      </c>
      <c r="F187" s="6">
        <f>E187*D187</f>
        <v>70</v>
      </c>
    </row>
    <row r="188" spans="1:6" x14ac:dyDescent="0.25">
      <c r="A188" t="s">
        <v>419</v>
      </c>
      <c r="B188" s="1">
        <v>46042.666666666664</v>
      </c>
      <c r="C188">
        <f>INT((B188-$B$2)/7)</f>
        <v>11</v>
      </c>
      <c r="D188" s="7">
        <v>5.6000000000000001E-2</v>
      </c>
      <c r="E188" s="4">
        <v>2000</v>
      </c>
      <c r="F188" s="6">
        <f>E188*D188</f>
        <v>112</v>
      </c>
    </row>
    <row r="189" spans="1:6" x14ac:dyDescent="0.25">
      <c r="A189" t="s">
        <v>421</v>
      </c>
      <c r="B189" s="1">
        <v>46043.5625</v>
      </c>
      <c r="C189">
        <f>INT((B189-$B$2)/7)</f>
        <v>11</v>
      </c>
      <c r="D189" s="7">
        <v>-4.9000000000000002E-2</v>
      </c>
      <c r="E189" s="4">
        <v>2000</v>
      </c>
      <c r="F189" s="6">
        <f>E189*D189</f>
        <v>-98</v>
      </c>
    </row>
    <row r="190" spans="1:6" x14ac:dyDescent="0.25">
      <c r="A190" t="s">
        <v>425</v>
      </c>
      <c r="B190" s="1">
        <v>46044.354166666664</v>
      </c>
      <c r="C190">
        <f>INT((B190-$B$2)/7)</f>
        <v>11</v>
      </c>
      <c r="D190" s="7">
        <v>9.4E-2</v>
      </c>
      <c r="E190" s="4">
        <v>2000</v>
      </c>
      <c r="F190" s="6">
        <f>E190*D190</f>
        <v>188</v>
      </c>
    </row>
    <row r="191" spans="1:6" x14ac:dyDescent="0.25">
      <c r="A191" t="s">
        <v>423</v>
      </c>
      <c r="B191" s="1">
        <v>46044.354166666664</v>
      </c>
      <c r="C191">
        <f>INT((B191-$B$2)/7)</f>
        <v>11</v>
      </c>
      <c r="D191" s="7">
        <v>-6.2E-2</v>
      </c>
      <c r="E191" s="4">
        <v>2000</v>
      </c>
      <c r="F191" s="6">
        <f>E191*D191</f>
        <v>-124</v>
      </c>
    </row>
    <row r="192" spans="1:6" x14ac:dyDescent="0.25">
      <c r="A192" t="s">
        <v>427</v>
      </c>
      <c r="B192" s="1">
        <v>46044.666666666664</v>
      </c>
      <c r="C192">
        <f>INT((B192-$B$2)/7)</f>
        <v>11</v>
      </c>
      <c r="D192" s="7">
        <v>-0.104</v>
      </c>
      <c r="E192" s="4">
        <v>2000</v>
      </c>
      <c r="F192" s="6">
        <f>E192*D192</f>
        <v>-208</v>
      </c>
    </row>
    <row r="193" spans="1:6" x14ac:dyDescent="0.25">
      <c r="A193" t="s">
        <v>429</v>
      </c>
      <c r="B193" s="1">
        <v>46048.666666666664</v>
      </c>
      <c r="C193">
        <f>INT((B193-$B$2)/7)</f>
        <v>12</v>
      </c>
      <c r="D193" s="7">
        <v>-0.17599999999999999</v>
      </c>
      <c r="E193" s="4">
        <v>2000</v>
      </c>
      <c r="F193" s="6">
        <f>E193*D193</f>
        <v>-352</v>
      </c>
    </row>
    <row r="194" spans="1:6" x14ac:dyDescent="0.25">
      <c r="A194" t="s">
        <v>431</v>
      </c>
      <c r="B194" s="1">
        <v>46049.666666666664</v>
      </c>
      <c r="C194">
        <f>INT((B194-$B$2)/7)</f>
        <v>12</v>
      </c>
      <c r="D194" s="7">
        <v>0.13200000000000001</v>
      </c>
      <c r="E194" s="4">
        <v>2000</v>
      </c>
      <c r="F194" s="6">
        <f>E194*D194</f>
        <v>264</v>
      </c>
    </row>
    <row r="195" spans="1:6" x14ac:dyDescent="0.25">
      <c r="A195" t="s">
        <v>435</v>
      </c>
      <c r="B195" s="1">
        <v>46050.354166666664</v>
      </c>
      <c r="C195">
        <f>INT((B195-$B$2)/7)</f>
        <v>12</v>
      </c>
      <c r="D195" s="7">
        <v>-2E-3</v>
      </c>
      <c r="E195" s="4">
        <v>2000</v>
      </c>
      <c r="F195" s="6">
        <f>E195*D195</f>
        <v>-4</v>
      </c>
    </row>
    <row r="196" spans="1:6" x14ac:dyDescent="0.25">
      <c r="A196" t="s">
        <v>437</v>
      </c>
      <c r="B196" s="1">
        <v>46050.354166666664</v>
      </c>
      <c r="C196">
        <f>INT((B196-$B$2)/7)</f>
        <v>12</v>
      </c>
      <c r="D196" s="7">
        <v>-0.218</v>
      </c>
      <c r="E196" s="4">
        <v>2000</v>
      </c>
      <c r="F196" s="6">
        <f>E196*D196</f>
        <v>-436</v>
      </c>
    </row>
    <row r="197" spans="1:6" x14ac:dyDescent="0.25">
      <c r="A197" t="s">
        <v>433</v>
      </c>
      <c r="B197" s="1">
        <v>46050.354166666664</v>
      </c>
      <c r="C197">
        <f>INT((B197-$B$2)/7)</f>
        <v>12</v>
      </c>
      <c r="D197" s="7">
        <v>7.9000000000000001E-2</v>
      </c>
      <c r="E197" s="4">
        <v>2000</v>
      </c>
      <c r="F197" s="6">
        <f>E197*D197</f>
        <v>158</v>
      </c>
    </row>
    <row r="198" spans="1:6" x14ac:dyDescent="0.25">
      <c r="A198" t="s">
        <v>439</v>
      </c>
      <c r="B198" s="1">
        <v>46050.666666666664</v>
      </c>
      <c r="C198">
        <f>INT((B198-$B$2)/7)</f>
        <v>12</v>
      </c>
      <c r="D198" s="7">
        <v>7.4999999999999997E-2</v>
      </c>
      <c r="E198" s="4">
        <v>2000</v>
      </c>
      <c r="F198" s="6">
        <f>E198*D198</f>
        <v>150</v>
      </c>
    </row>
    <row r="199" spans="1:6" x14ac:dyDescent="0.25">
      <c r="A199" t="s">
        <v>441</v>
      </c>
      <c r="B199" s="1">
        <v>46050.666666666664</v>
      </c>
      <c r="C199">
        <f>INT((B199-$B$2)/7)</f>
        <v>12</v>
      </c>
      <c r="D199" s="7">
        <v>0.09</v>
      </c>
      <c r="E199" s="4">
        <v>2000</v>
      </c>
      <c r="F199" s="6">
        <f>E199*D199</f>
        <v>180</v>
      </c>
    </row>
    <row r="200" spans="1:6" x14ac:dyDescent="0.25">
      <c r="A200" t="s">
        <v>449</v>
      </c>
      <c r="B200" s="1">
        <v>46051.354166666664</v>
      </c>
      <c r="C200">
        <f>INT((B200-$B$2)/7)</f>
        <v>12</v>
      </c>
      <c r="D200" s="7">
        <v>1.9E-2</v>
      </c>
      <c r="E200" s="4">
        <v>2000</v>
      </c>
      <c r="F200" s="6">
        <f>E200*D200</f>
        <v>38</v>
      </c>
    </row>
    <row r="201" spans="1:6" x14ac:dyDescent="0.25">
      <c r="A201" t="s">
        <v>451</v>
      </c>
      <c r="B201" s="1">
        <v>46051.354166666664</v>
      </c>
      <c r="C201">
        <f>INT((B201-$B$2)/7)</f>
        <v>12</v>
      </c>
      <c r="D201" s="7">
        <v>3.5999999999999997E-2</v>
      </c>
      <c r="E201" s="4">
        <v>2000</v>
      </c>
      <c r="F201" s="6">
        <f>E201*D201</f>
        <v>72</v>
      </c>
    </row>
    <row r="202" spans="1:6" x14ac:dyDescent="0.25">
      <c r="A202" t="s">
        <v>447</v>
      </c>
      <c r="B202" s="1">
        <v>46051.354166666664</v>
      </c>
      <c r="C202">
        <f>INT((B202-$B$2)/7)</f>
        <v>12</v>
      </c>
      <c r="D202" s="7">
        <v>6.0999999999999999E-2</v>
      </c>
      <c r="E202" s="4">
        <v>2000</v>
      </c>
      <c r="F202" s="6">
        <f>E202*D202</f>
        <v>122</v>
      </c>
    </row>
    <row r="203" spans="1:6" x14ac:dyDescent="0.25">
      <c r="A203" t="s">
        <v>443</v>
      </c>
      <c r="B203" s="1">
        <v>46051.354166666664</v>
      </c>
      <c r="C203">
        <f>INT((B203-$B$2)/7)</f>
        <v>12</v>
      </c>
      <c r="D203" s="7">
        <v>6.0000000000000001E-3</v>
      </c>
      <c r="E203" s="4">
        <v>2000</v>
      </c>
      <c r="F203" s="6">
        <f>E203*D203</f>
        <v>12</v>
      </c>
    </row>
    <row r="204" spans="1:6" x14ac:dyDescent="0.25">
      <c r="A204" t="s">
        <v>455</v>
      </c>
      <c r="B204" s="1">
        <v>46051.354166666664</v>
      </c>
      <c r="C204">
        <f>INT((B204-$B$2)/7)</f>
        <v>12</v>
      </c>
      <c r="D204" s="7">
        <v>8.7999999999999995E-2</v>
      </c>
      <c r="E204" s="4">
        <v>2000</v>
      </c>
      <c r="F204" s="6">
        <f>E204*D204</f>
        <v>176</v>
      </c>
    </row>
    <row r="205" spans="1:6" x14ac:dyDescent="0.25">
      <c r="A205" t="s">
        <v>453</v>
      </c>
      <c r="B205" s="1">
        <v>46051.354166666664</v>
      </c>
      <c r="C205">
        <f>INT((B205-$B$2)/7)</f>
        <v>12</v>
      </c>
      <c r="D205" s="7">
        <v>0.29399999999999998</v>
      </c>
      <c r="E205" s="4">
        <v>2000</v>
      </c>
      <c r="F205" s="6">
        <f>E205*D205</f>
        <v>588</v>
      </c>
    </row>
    <row r="206" spans="1:6" x14ac:dyDescent="0.25">
      <c r="A206" t="s">
        <v>445</v>
      </c>
      <c r="B206" s="1">
        <v>46051.354166666664</v>
      </c>
      <c r="C206">
        <f>INT((B206-$B$2)/7)</f>
        <v>12</v>
      </c>
      <c r="D206" s="7">
        <v>3.3000000000000002E-2</v>
      </c>
      <c r="E206" s="4">
        <v>2000</v>
      </c>
      <c r="F206" s="6">
        <f>E206*D206</f>
        <v>66</v>
      </c>
    </row>
    <row r="207" spans="1:6" x14ac:dyDescent="0.25">
      <c r="A207" t="s">
        <v>461</v>
      </c>
      <c r="B207" s="1">
        <v>46051.666666666664</v>
      </c>
      <c r="C207">
        <f>INT((B207-$B$2)/7)</f>
        <v>12</v>
      </c>
      <c r="D207" s="7">
        <v>1.4E-2</v>
      </c>
      <c r="E207" s="4">
        <v>2000</v>
      </c>
      <c r="F207" s="6">
        <f>E207*D207</f>
        <v>28</v>
      </c>
    </row>
    <row r="208" spans="1:6" x14ac:dyDescent="0.25">
      <c r="A208" t="s">
        <v>463</v>
      </c>
      <c r="B208" s="1">
        <v>46051.666666666664</v>
      </c>
      <c r="C208">
        <f>INT((B208-$B$2)/7)</f>
        <v>12</v>
      </c>
      <c r="D208" s="7">
        <v>-0.191</v>
      </c>
      <c r="E208" s="4">
        <v>2000</v>
      </c>
      <c r="F208" s="6">
        <f>E208*D208</f>
        <v>-382</v>
      </c>
    </row>
    <row r="209" spans="1:6" x14ac:dyDescent="0.25">
      <c r="A209" t="s">
        <v>459</v>
      </c>
      <c r="B209" s="1">
        <v>46051.666666666664</v>
      </c>
      <c r="C209">
        <f>INT((B209-$B$2)/7)</f>
        <v>12</v>
      </c>
      <c r="D209" s="7">
        <v>-2.5999999999999999E-2</v>
      </c>
      <c r="E209" s="4">
        <v>2000</v>
      </c>
      <c r="F209" s="6">
        <f>E209*D209</f>
        <v>-52</v>
      </c>
    </row>
    <row r="210" spans="1:6" x14ac:dyDescent="0.25">
      <c r="A210" t="s">
        <v>457</v>
      </c>
      <c r="B210" s="1">
        <v>46051.666666666664</v>
      </c>
      <c r="C210">
        <f>INT((B210-$B$2)/7)</f>
        <v>12</v>
      </c>
      <c r="D210" s="7">
        <v>2.7E-2</v>
      </c>
      <c r="E210" s="4">
        <v>2000</v>
      </c>
      <c r="F210" s="6">
        <f>E210*D210</f>
        <v>54</v>
      </c>
    </row>
    <row r="211" spans="1:6" x14ac:dyDescent="0.25">
      <c r="A211" t="s">
        <v>465</v>
      </c>
      <c r="B211" s="1">
        <v>46052.354166666664</v>
      </c>
      <c r="C211">
        <f>INT((B211-$B$2)/7)</f>
        <v>12</v>
      </c>
      <c r="D211" s="7">
        <v>5.6000000000000001E-2</v>
      </c>
      <c r="E211" s="4">
        <v>2000</v>
      </c>
      <c r="F211" s="6">
        <f>E211*D211</f>
        <v>112</v>
      </c>
    </row>
    <row r="212" spans="1:6" x14ac:dyDescent="0.25">
      <c r="A212" t="s">
        <v>467</v>
      </c>
      <c r="B212" s="1">
        <v>46052.354166666664</v>
      </c>
      <c r="C212">
        <f>INT((B212-$B$2)/7)</f>
        <v>12</v>
      </c>
      <c r="D212" s="7">
        <v>0.10299999999999999</v>
      </c>
      <c r="E212" s="4">
        <v>2000</v>
      </c>
      <c r="F212" s="6">
        <f>E212*D212</f>
        <v>206</v>
      </c>
    </row>
    <row r="213" spans="1:6" x14ac:dyDescent="0.25">
      <c r="A213" t="s">
        <v>469</v>
      </c>
      <c r="B213" s="1">
        <v>46052.354166666664</v>
      </c>
      <c r="C213">
        <f>INT((B213-$B$2)/7)</f>
        <v>12</v>
      </c>
      <c r="D213" s="7">
        <v>6.6000000000000003E-2</v>
      </c>
      <c r="E213" s="4">
        <v>2000</v>
      </c>
      <c r="F213" s="6">
        <f>E213*D213</f>
        <v>132</v>
      </c>
    </row>
    <row r="214" spans="1:6" x14ac:dyDescent="0.25">
      <c r="A214" t="s">
        <v>471</v>
      </c>
      <c r="B214" s="1">
        <v>46052.354166666664</v>
      </c>
      <c r="C214">
        <f>INT((B214-$B$2)/7)</f>
        <v>12</v>
      </c>
      <c r="D214" s="7">
        <v>-3.9E-2</v>
      </c>
      <c r="E214" s="4">
        <v>2000</v>
      </c>
      <c r="F214" s="6">
        <f>E214*D214</f>
        <v>-78</v>
      </c>
    </row>
    <row r="215" spans="1:6" x14ac:dyDescent="0.25">
      <c r="A215" t="s">
        <v>473</v>
      </c>
      <c r="B215" s="1">
        <v>46055.875</v>
      </c>
      <c r="C215">
        <f>INT((B215-$B$2)/7)</f>
        <v>13</v>
      </c>
      <c r="D215" s="7">
        <v>-2.5000000000000001E-2</v>
      </c>
      <c r="E215" s="4">
        <v>2000</v>
      </c>
      <c r="F215" s="6">
        <f>E215*D215</f>
        <v>-50</v>
      </c>
    </row>
    <row r="216" spans="1:6" x14ac:dyDescent="0.25">
      <c r="A216" t="s">
        <v>479</v>
      </c>
      <c r="B216" s="1">
        <v>46056.5625</v>
      </c>
      <c r="C216">
        <f>INT((B216-$B$2)/7)</f>
        <v>13</v>
      </c>
      <c r="D216" s="7">
        <v>-6.5000000000000002E-2</v>
      </c>
      <c r="E216" s="4">
        <v>2000</v>
      </c>
      <c r="F216" s="6">
        <f>E216*D216</f>
        <v>-130</v>
      </c>
    </row>
    <row r="217" spans="1:6" x14ac:dyDescent="0.25">
      <c r="A217" t="s">
        <v>483</v>
      </c>
      <c r="B217" s="1">
        <v>46056.5625</v>
      </c>
      <c r="C217">
        <f>INT((B217-$B$2)/7)</f>
        <v>13</v>
      </c>
      <c r="D217" s="7">
        <v>3.5999999999999997E-2</v>
      </c>
      <c r="E217" s="4">
        <v>2000</v>
      </c>
      <c r="F217" s="6">
        <f>E217*D217</f>
        <v>72</v>
      </c>
    </row>
    <row r="218" spans="1:6" x14ac:dyDescent="0.25">
      <c r="A218" t="s">
        <v>477</v>
      </c>
      <c r="B218" s="1">
        <v>46056.5625</v>
      </c>
      <c r="C218">
        <f>INT((B218-$B$2)/7)</f>
        <v>13</v>
      </c>
      <c r="D218" s="7">
        <v>-0.19900000000000001</v>
      </c>
      <c r="E218" s="4">
        <v>2000</v>
      </c>
      <c r="F218" s="6">
        <f>E218*D218</f>
        <v>-398</v>
      </c>
    </row>
    <row r="219" spans="1:6" x14ac:dyDescent="0.25">
      <c r="A219" t="s">
        <v>475</v>
      </c>
      <c r="B219" s="1">
        <v>46056.5625</v>
      </c>
      <c r="C219">
        <f>INT((B219-$B$2)/7)</f>
        <v>13</v>
      </c>
      <c r="D219" s="7">
        <v>-0.108</v>
      </c>
      <c r="E219" s="4">
        <v>2000</v>
      </c>
      <c r="F219" s="6">
        <f>E219*D219</f>
        <v>-216</v>
      </c>
    </row>
    <row r="220" spans="1:6" x14ac:dyDescent="0.25">
      <c r="A220" t="s">
        <v>481</v>
      </c>
      <c r="B220" s="1">
        <v>46056.5625</v>
      </c>
      <c r="C220">
        <f>INT((B220-$B$2)/7)</f>
        <v>13</v>
      </c>
      <c r="D220" s="7">
        <v>0.05</v>
      </c>
      <c r="E220" s="4">
        <v>2000</v>
      </c>
      <c r="F220" s="6">
        <f>E220*D220</f>
        <v>100</v>
      </c>
    </row>
    <row r="221" spans="1:6" x14ac:dyDescent="0.25">
      <c r="A221" t="s">
        <v>487</v>
      </c>
      <c r="B221" s="1">
        <v>46056.875</v>
      </c>
      <c r="C221">
        <f>INT((B221-$B$2)/7)</f>
        <v>13</v>
      </c>
      <c r="D221" s="7">
        <v>-0.08</v>
      </c>
      <c r="E221" s="4">
        <v>2000</v>
      </c>
      <c r="F221" s="6">
        <f>E221*D221</f>
        <v>-160</v>
      </c>
    </row>
    <row r="222" spans="1:6" x14ac:dyDescent="0.25">
      <c r="A222" t="s">
        <v>491</v>
      </c>
      <c r="B222" s="1">
        <v>46056.875</v>
      </c>
      <c r="C222">
        <f>INT((B222-$B$2)/7)</f>
        <v>13</v>
      </c>
      <c r="D222" s="7">
        <v>-5.5E-2</v>
      </c>
      <c r="E222" s="4">
        <v>2000</v>
      </c>
      <c r="F222" s="6">
        <f>E222*D222</f>
        <v>-110</v>
      </c>
    </row>
    <row r="223" spans="1:6" x14ac:dyDescent="0.25">
      <c r="A223" t="s">
        <v>87</v>
      </c>
      <c r="B223" s="1">
        <v>46056.875</v>
      </c>
      <c r="C223">
        <f>INT((B223-$B$2)/7)</f>
        <v>13</v>
      </c>
      <c r="D223" s="7">
        <v>0.16300000000000001</v>
      </c>
      <c r="E223" s="4">
        <v>2000</v>
      </c>
      <c r="F223" s="6">
        <f>E223*D223</f>
        <v>326</v>
      </c>
    </row>
    <row r="224" spans="1:6" x14ac:dyDescent="0.25">
      <c r="A224" t="s">
        <v>485</v>
      </c>
      <c r="B224" s="1">
        <v>46056.875</v>
      </c>
      <c r="C224">
        <f>INT((B224-$B$2)/7)</f>
        <v>13</v>
      </c>
      <c r="D224" s="7">
        <v>-0.11799999999999999</v>
      </c>
      <c r="E224" s="4">
        <v>2000</v>
      </c>
      <c r="F224" s="6">
        <f>E224*D224</f>
        <v>-236</v>
      </c>
    </row>
    <row r="225" spans="1:6" x14ac:dyDescent="0.25">
      <c r="A225" t="s">
        <v>489</v>
      </c>
      <c r="B225" s="1">
        <v>46056.875</v>
      </c>
      <c r="C225">
        <f>INT((B225-$B$2)/7)</f>
        <v>13</v>
      </c>
      <c r="D225" s="7">
        <v>4.3999999999999997E-2</v>
      </c>
      <c r="E225" s="4">
        <v>2000</v>
      </c>
      <c r="F225" s="6">
        <f>E225*D225</f>
        <v>88</v>
      </c>
    </row>
    <row r="226" spans="1:6" x14ac:dyDescent="0.25">
      <c r="A226" t="s">
        <v>493</v>
      </c>
      <c r="B226" s="1">
        <v>46056.875</v>
      </c>
      <c r="C226">
        <f>INT((B226-$B$2)/7)</f>
        <v>13</v>
      </c>
      <c r="D226" s="7">
        <v>7.6999999999999999E-2</v>
      </c>
      <c r="E226" s="4">
        <v>2000</v>
      </c>
      <c r="F226" s="6">
        <f>E226*D226</f>
        <v>154</v>
      </c>
    </row>
    <row r="227" spans="1:6" x14ac:dyDescent="0.25">
      <c r="A227" t="s">
        <v>81</v>
      </c>
      <c r="B227" s="1">
        <v>46056.875</v>
      </c>
      <c r="C227">
        <f>INT((B227-$B$2)/7)</f>
        <v>13</v>
      </c>
      <c r="D227" s="7">
        <v>0.04</v>
      </c>
      <c r="E227" s="4">
        <v>2000</v>
      </c>
      <c r="F227" s="6">
        <f>E227*D227</f>
        <v>80</v>
      </c>
    </row>
    <row r="228" spans="1:6" x14ac:dyDescent="0.25">
      <c r="A228" t="s">
        <v>495</v>
      </c>
      <c r="B228" s="1">
        <v>46057.5625</v>
      </c>
      <c r="C228">
        <f>INT((B228-$B$2)/7)</f>
        <v>13</v>
      </c>
      <c r="D228" s="7">
        <v>1.0999999999999999E-2</v>
      </c>
      <c r="E228" s="4">
        <v>2000</v>
      </c>
      <c r="F228" s="6">
        <f>E228*D228</f>
        <v>22</v>
      </c>
    </row>
    <row r="229" spans="1:6" x14ac:dyDescent="0.25">
      <c r="A229" t="s">
        <v>503</v>
      </c>
      <c r="B229" s="1">
        <v>46057.5625</v>
      </c>
      <c r="C229">
        <f>INT((B229-$B$2)/7)</f>
        <v>13</v>
      </c>
      <c r="D229" s="7">
        <v>3.2000000000000001E-2</v>
      </c>
      <c r="E229" s="4">
        <v>2000</v>
      </c>
      <c r="F229" s="6">
        <f>E229*D229</f>
        <v>64</v>
      </c>
    </row>
    <row r="230" spans="1:6" x14ac:dyDescent="0.25">
      <c r="A230" t="s">
        <v>499</v>
      </c>
      <c r="B230" s="1">
        <v>46057.5625</v>
      </c>
      <c r="C230">
        <f>INT((B230-$B$2)/7)</f>
        <v>13</v>
      </c>
      <c r="D230" s="7">
        <v>9.0999999999999998E-2</v>
      </c>
      <c r="E230" s="4">
        <v>2000</v>
      </c>
      <c r="F230" s="6">
        <f>E230*D230</f>
        <v>182</v>
      </c>
    </row>
    <row r="231" spans="1:6" x14ac:dyDescent="0.25">
      <c r="A231" t="s">
        <v>497</v>
      </c>
      <c r="B231" s="1">
        <v>46057.5625</v>
      </c>
      <c r="C231">
        <f>INT((B231-$B$2)/7)</f>
        <v>13</v>
      </c>
      <c r="D231" s="7">
        <v>4.3999999999999997E-2</v>
      </c>
      <c r="E231" s="4">
        <v>2000</v>
      </c>
      <c r="F231" s="6">
        <f>E231*D231</f>
        <v>88</v>
      </c>
    </row>
    <row r="232" spans="1:6" x14ac:dyDescent="0.25">
      <c r="A232" t="s">
        <v>501</v>
      </c>
      <c r="B232" s="1">
        <v>46057.5625</v>
      </c>
      <c r="C232">
        <f>INT((B232-$B$2)/7)</f>
        <v>13</v>
      </c>
      <c r="D232" s="7">
        <v>-7.0000000000000007E-2</v>
      </c>
      <c r="E232" s="4">
        <v>2000</v>
      </c>
      <c r="F232" s="6">
        <f>E232*D232</f>
        <v>-140</v>
      </c>
    </row>
    <row r="233" spans="1:6" x14ac:dyDescent="0.25">
      <c r="A233" t="s">
        <v>505</v>
      </c>
      <c r="B233" s="1">
        <v>46057.875</v>
      </c>
      <c r="C233">
        <f>INT((B233-$B$2)/7)</f>
        <v>13</v>
      </c>
      <c r="D233" s="7">
        <v>9.1999999999999998E-2</v>
      </c>
      <c r="E233" s="4">
        <v>2000</v>
      </c>
      <c r="F233" s="6">
        <f>E233*D233</f>
        <v>184</v>
      </c>
    </row>
    <row r="234" spans="1:6" x14ac:dyDescent="0.25">
      <c r="A234" t="s">
        <v>513</v>
      </c>
      <c r="B234" s="1">
        <v>46057.875</v>
      </c>
      <c r="C234">
        <f>INT((B234-$B$2)/7)</f>
        <v>13</v>
      </c>
      <c r="D234" s="7">
        <v>-7.9000000000000001E-2</v>
      </c>
      <c r="E234" s="4">
        <v>2000</v>
      </c>
      <c r="F234" s="6">
        <f>E234*D234</f>
        <v>-158</v>
      </c>
    </row>
    <row r="235" spans="1:6" x14ac:dyDescent="0.25">
      <c r="A235" t="s">
        <v>507</v>
      </c>
      <c r="B235" s="1">
        <v>46057.875</v>
      </c>
      <c r="C235">
        <f>INT((B235-$B$2)/7)</f>
        <v>13</v>
      </c>
      <c r="D235" s="7">
        <v>-1.4999999999999999E-2</v>
      </c>
      <c r="E235" s="4">
        <v>2000</v>
      </c>
      <c r="F235" s="6">
        <f>E235*D235</f>
        <v>-30</v>
      </c>
    </row>
    <row r="236" spans="1:6" x14ac:dyDescent="0.25">
      <c r="A236" t="s">
        <v>511</v>
      </c>
      <c r="B236" s="1">
        <v>46057.875</v>
      </c>
      <c r="C236">
        <f>INT((B236-$B$2)/7)</f>
        <v>13</v>
      </c>
      <c r="D236" s="7">
        <v>0.11</v>
      </c>
      <c r="E236" s="4">
        <v>2000</v>
      </c>
      <c r="F236" s="6">
        <f>E236*D236</f>
        <v>220</v>
      </c>
    </row>
    <row r="237" spans="1:6" x14ac:dyDescent="0.25">
      <c r="A237" t="s">
        <v>509</v>
      </c>
      <c r="B237" s="1">
        <v>46057.875</v>
      </c>
      <c r="C237">
        <f>INT((B237-$B$2)/7)</f>
        <v>13</v>
      </c>
      <c r="D237" s="7">
        <v>0.25700000000000001</v>
      </c>
      <c r="E237" s="4">
        <v>2000</v>
      </c>
      <c r="F237" s="6">
        <f>E237*D237</f>
        <v>514</v>
      </c>
    </row>
    <row r="238" spans="1:6" x14ac:dyDescent="0.25">
      <c r="A238" t="s">
        <v>138</v>
      </c>
      <c r="B238" s="1">
        <v>46057.875</v>
      </c>
      <c r="C238">
        <f>INT((B238-$B$2)/7)</f>
        <v>13</v>
      </c>
      <c r="D238" s="7">
        <v>0.127</v>
      </c>
      <c r="E238" s="4">
        <v>2000</v>
      </c>
      <c r="F238" s="6">
        <f>E238*D238</f>
        <v>254</v>
      </c>
    </row>
    <row r="239" spans="1:6" x14ac:dyDescent="0.25">
      <c r="A239" t="s">
        <v>525</v>
      </c>
      <c r="B239" s="1">
        <v>46058.5625</v>
      </c>
      <c r="C239">
        <f>INT((B239-$B$2)/7)</f>
        <v>13</v>
      </c>
      <c r="D239" s="7">
        <v>-0.01</v>
      </c>
      <c r="E239" s="4">
        <v>2000</v>
      </c>
      <c r="F239" s="6">
        <f>E239*D239</f>
        <v>-20</v>
      </c>
    </row>
    <row r="240" spans="1:6" x14ac:dyDescent="0.25">
      <c r="A240" t="s">
        <v>523</v>
      </c>
      <c r="B240" s="1">
        <v>46058.5625</v>
      </c>
      <c r="C240">
        <f>INT((B240-$B$2)/7)</f>
        <v>13</v>
      </c>
      <c r="D240" s="7">
        <v>-7.0000000000000001E-3</v>
      </c>
      <c r="E240" s="4">
        <v>2000</v>
      </c>
      <c r="F240" s="6">
        <f>E240*D240</f>
        <v>-14</v>
      </c>
    </row>
    <row r="241" spans="1:6" x14ac:dyDescent="0.25">
      <c r="A241" t="s">
        <v>521</v>
      </c>
      <c r="B241" s="1">
        <v>46058.5625</v>
      </c>
      <c r="C241">
        <f>INT((B241-$B$2)/7)</f>
        <v>13</v>
      </c>
      <c r="D241" s="7">
        <v>-4.4999999999999998E-2</v>
      </c>
      <c r="E241" s="4">
        <v>2000</v>
      </c>
      <c r="F241" s="6">
        <f>E241*D241</f>
        <v>-90</v>
      </c>
    </row>
    <row r="242" spans="1:6" x14ac:dyDescent="0.25">
      <c r="A242" t="s">
        <v>519</v>
      </c>
      <c r="B242" s="1">
        <v>46058.5625</v>
      </c>
      <c r="C242">
        <f>INT((B242-$B$2)/7)</f>
        <v>13</v>
      </c>
      <c r="D242" s="7">
        <v>-0.218</v>
      </c>
      <c r="E242" s="4">
        <v>2000</v>
      </c>
      <c r="F242" s="6">
        <f>E242*D242</f>
        <v>-436</v>
      </c>
    </row>
    <row r="243" spans="1:6" x14ac:dyDescent="0.25">
      <c r="A243" t="s">
        <v>517</v>
      </c>
      <c r="B243" s="1">
        <v>46058.5625</v>
      </c>
      <c r="C243">
        <f>INT((B243-$B$2)/7)</f>
        <v>13</v>
      </c>
      <c r="D243" s="7">
        <v>7.4999999999999997E-2</v>
      </c>
      <c r="E243" s="4">
        <v>2000</v>
      </c>
      <c r="F243" s="6">
        <f>E243*D243</f>
        <v>150</v>
      </c>
    </row>
    <row r="244" spans="1:6" x14ac:dyDescent="0.25">
      <c r="A244" t="s">
        <v>515</v>
      </c>
      <c r="B244" s="1">
        <v>46058.5625</v>
      </c>
      <c r="C244">
        <f>INT((B244-$B$2)/7)</f>
        <v>13</v>
      </c>
      <c r="D244" s="7">
        <v>0</v>
      </c>
      <c r="E244" s="4">
        <v>2000</v>
      </c>
      <c r="F244" s="6">
        <f>E244*D244</f>
        <v>0</v>
      </c>
    </row>
    <row r="245" spans="1:6" x14ac:dyDescent="0.25">
      <c r="A245" t="s">
        <v>527</v>
      </c>
      <c r="B245" s="1">
        <v>46058.5625</v>
      </c>
      <c r="C245">
        <f>INT((B245-$B$2)/7)</f>
        <v>13</v>
      </c>
      <c r="D245" s="7">
        <v>6.0000000000000001E-3</v>
      </c>
      <c r="E245" s="4">
        <v>2000</v>
      </c>
      <c r="F245" s="6">
        <f>E245*D245</f>
        <v>12</v>
      </c>
    </row>
    <row r="246" spans="1:6" x14ac:dyDescent="0.25">
      <c r="A246" t="s">
        <v>543</v>
      </c>
      <c r="B246" s="1">
        <v>46058.875</v>
      </c>
      <c r="C246">
        <f>INT((B246-$B$2)/7)</f>
        <v>13</v>
      </c>
      <c r="D246" s="7">
        <v>-5.2999999999999999E-2</v>
      </c>
      <c r="E246" s="4">
        <v>2000</v>
      </c>
      <c r="F246" s="6">
        <f>E246*D246</f>
        <v>-106</v>
      </c>
    </row>
    <row r="247" spans="1:6" x14ac:dyDescent="0.25">
      <c r="A247" t="s">
        <v>541</v>
      </c>
      <c r="B247" s="1">
        <v>46058.875</v>
      </c>
      <c r="C247">
        <f>INT((B247-$B$2)/7)</f>
        <v>13</v>
      </c>
      <c r="D247" s="7">
        <v>6.0000000000000001E-3</v>
      </c>
      <c r="E247" s="4">
        <v>2000</v>
      </c>
      <c r="F247" s="6">
        <f>E247*D247</f>
        <v>12</v>
      </c>
    </row>
    <row r="248" spans="1:6" x14ac:dyDescent="0.25">
      <c r="A248" t="s">
        <v>539</v>
      </c>
      <c r="B248" s="1">
        <v>46058.875</v>
      </c>
      <c r="C248">
        <f>INT((B248-$B$2)/7)</f>
        <v>13</v>
      </c>
      <c r="D248" s="7">
        <v>1.7999999999999999E-2</v>
      </c>
      <c r="E248" s="4">
        <v>2000</v>
      </c>
      <c r="F248" s="6">
        <f>E248*D248</f>
        <v>36</v>
      </c>
    </row>
    <row r="249" spans="1:6" x14ac:dyDescent="0.25">
      <c r="A249" t="s">
        <v>537</v>
      </c>
      <c r="B249" s="1">
        <v>46058.875</v>
      </c>
      <c r="C249">
        <f>INT((B249-$B$2)/7)</f>
        <v>13</v>
      </c>
      <c r="D249" s="7">
        <v>1.7000000000000001E-2</v>
      </c>
      <c r="E249" s="4">
        <v>2000</v>
      </c>
      <c r="F249" s="6">
        <f>E249*D249</f>
        <v>34</v>
      </c>
    </row>
    <row r="250" spans="1:6" x14ac:dyDescent="0.25">
      <c r="A250" t="s">
        <v>535</v>
      </c>
      <c r="B250" s="1">
        <v>46058.875</v>
      </c>
      <c r="C250">
        <f>INT((B250-$B$2)/7)</f>
        <v>13</v>
      </c>
      <c r="D250" s="7">
        <v>0.14399999999999999</v>
      </c>
      <c r="E250" s="4">
        <v>2000</v>
      </c>
      <c r="F250" s="6">
        <f>E250*D250</f>
        <v>288</v>
      </c>
    </row>
    <row r="251" spans="1:6" x14ac:dyDescent="0.25">
      <c r="A251" t="s">
        <v>531</v>
      </c>
      <c r="B251" s="1">
        <v>46058.875</v>
      </c>
      <c r="C251">
        <f>INT((B251-$B$2)/7)</f>
        <v>13</v>
      </c>
      <c r="D251" s="7">
        <v>2.3E-2</v>
      </c>
      <c r="E251" s="4">
        <v>2000</v>
      </c>
      <c r="F251" s="6">
        <f>E251*D251</f>
        <v>46</v>
      </c>
    </row>
    <row r="252" spans="1:6" x14ac:dyDescent="0.25">
      <c r="A252" t="s">
        <v>545</v>
      </c>
      <c r="B252" s="1">
        <v>46058.875</v>
      </c>
      <c r="C252">
        <f>INT((B252-$B$2)/7)</f>
        <v>13</v>
      </c>
      <c r="D252" s="7">
        <v>-3.0000000000000001E-3</v>
      </c>
      <c r="E252" s="4">
        <v>2000</v>
      </c>
      <c r="F252" s="6">
        <f>E252*D252</f>
        <v>-6</v>
      </c>
    </row>
    <row r="253" spans="1:6" x14ac:dyDescent="0.25">
      <c r="A253" t="s">
        <v>529</v>
      </c>
      <c r="B253" s="1">
        <v>46058.875</v>
      </c>
      <c r="C253">
        <f>INT((B253-$B$2)/7)</f>
        <v>13</v>
      </c>
      <c r="D253" s="7">
        <v>2E-3</v>
      </c>
      <c r="E253" s="4">
        <v>2000</v>
      </c>
      <c r="F253" s="6">
        <f>E253*D253</f>
        <v>4</v>
      </c>
    </row>
    <row r="254" spans="1:6" x14ac:dyDescent="0.25">
      <c r="A254" t="s">
        <v>533</v>
      </c>
      <c r="B254" s="1">
        <v>46058.875</v>
      </c>
      <c r="C254">
        <f>INT((B254-$B$2)/7)</f>
        <v>13</v>
      </c>
      <c r="D254" s="7">
        <v>-7.0000000000000001E-3</v>
      </c>
      <c r="E254" s="4">
        <v>2000</v>
      </c>
      <c r="F254" s="6">
        <f>E254*D254</f>
        <v>-14</v>
      </c>
    </row>
    <row r="255" spans="1:6" x14ac:dyDescent="0.25">
      <c r="A255" t="s">
        <v>547</v>
      </c>
      <c r="B255" s="1">
        <v>46059.5625</v>
      </c>
      <c r="C255">
        <f t="shared" ref="C255:C303" si="2">INT((B255-$B$2)/7)</f>
        <v>13</v>
      </c>
      <c r="D255" s="7">
        <v>-5.0000000000000001E-3</v>
      </c>
      <c r="E255" s="4">
        <v>2000</v>
      </c>
      <c r="F255" s="6">
        <f t="shared" ref="F255:F303" si="3">E255*D255</f>
        <v>-10</v>
      </c>
    </row>
    <row r="256" spans="1:6" x14ac:dyDescent="0.25">
      <c r="A256" t="s">
        <v>549</v>
      </c>
      <c r="B256" s="1">
        <v>46062.875</v>
      </c>
      <c r="C256">
        <f t="shared" si="2"/>
        <v>14</v>
      </c>
      <c r="D256" s="7">
        <v>2.9000000000000001E-2</v>
      </c>
      <c r="E256" s="4">
        <v>2000</v>
      </c>
      <c r="F256" s="6">
        <f t="shared" si="3"/>
        <v>58</v>
      </c>
    </row>
    <row r="257" spans="1:6" x14ac:dyDescent="0.25">
      <c r="A257" t="s">
        <v>551</v>
      </c>
      <c r="B257" s="1">
        <v>46062.875</v>
      </c>
      <c r="C257">
        <f t="shared" si="2"/>
        <v>14</v>
      </c>
      <c r="D257" s="7">
        <v>-5.8000000000000003E-2</v>
      </c>
      <c r="E257" s="4">
        <v>2000</v>
      </c>
      <c r="F257" s="6">
        <f t="shared" si="3"/>
        <v>-116</v>
      </c>
    </row>
    <row r="258" spans="1:6" x14ac:dyDescent="0.25">
      <c r="A258" t="s">
        <v>559</v>
      </c>
      <c r="B258" s="1">
        <v>46063.5625</v>
      </c>
      <c r="C258">
        <f t="shared" si="2"/>
        <v>14</v>
      </c>
      <c r="D258" s="7">
        <v>-1.7999999999999999E-2</v>
      </c>
      <c r="E258" s="4">
        <v>2000</v>
      </c>
      <c r="F258" s="6">
        <f t="shared" si="3"/>
        <v>-36</v>
      </c>
    </row>
    <row r="259" spans="1:6" x14ac:dyDescent="0.25">
      <c r="A259" t="s">
        <v>557</v>
      </c>
      <c r="B259" s="1">
        <v>46063.5625</v>
      </c>
      <c r="C259">
        <f t="shared" si="2"/>
        <v>14</v>
      </c>
      <c r="D259" s="7">
        <v>-7.8E-2</v>
      </c>
      <c r="E259" s="4">
        <v>2000</v>
      </c>
      <c r="F259" s="6">
        <f t="shared" si="3"/>
        <v>-156</v>
      </c>
    </row>
    <row r="260" spans="1:6" x14ac:dyDescent="0.25">
      <c r="A260" t="s">
        <v>553</v>
      </c>
      <c r="B260" s="1">
        <v>46063.5625</v>
      </c>
      <c r="C260">
        <f t="shared" si="2"/>
        <v>14</v>
      </c>
      <c r="D260" s="7">
        <v>3.7999999999999999E-2</v>
      </c>
      <c r="E260" s="4">
        <v>2000</v>
      </c>
      <c r="F260" s="6">
        <f t="shared" si="3"/>
        <v>76</v>
      </c>
    </row>
    <row r="261" spans="1:6" x14ac:dyDescent="0.25">
      <c r="A261" t="s">
        <v>561</v>
      </c>
      <c r="B261" s="1">
        <v>46063.5625</v>
      </c>
      <c r="C261">
        <f t="shared" si="2"/>
        <v>14</v>
      </c>
      <c r="D261" s="7">
        <v>1.9E-2</v>
      </c>
      <c r="E261" s="4">
        <v>2000</v>
      </c>
      <c r="F261" s="6">
        <f t="shared" si="3"/>
        <v>38</v>
      </c>
    </row>
    <row r="262" spans="1:6" x14ac:dyDescent="0.25">
      <c r="A262" t="s">
        <v>555</v>
      </c>
      <c r="B262" s="1">
        <v>46063.5625</v>
      </c>
      <c r="C262">
        <f t="shared" si="2"/>
        <v>14</v>
      </c>
      <c r="D262" s="7">
        <v>6.9000000000000006E-2</v>
      </c>
      <c r="E262" s="4">
        <v>2000</v>
      </c>
      <c r="F262" s="6">
        <f t="shared" si="3"/>
        <v>138</v>
      </c>
    </row>
    <row r="263" spans="1:6" x14ac:dyDescent="0.25">
      <c r="A263" t="s">
        <v>563</v>
      </c>
      <c r="B263" s="1">
        <v>46063.875</v>
      </c>
      <c r="C263">
        <f t="shared" si="2"/>
        <v>14</v>
      </c>
      <c r="D263" s="7">
        <v>-1.4999999999999999E-2</v>
      </c>
      <c r="E263" s="4">
        <v>2000</v>
      </c>
      <c r="F263" s="6">
        <f t="shared" si="3"/>
        <v>-30</v>
      </c>
    </row>
    <row r="264" spans="1:6" x14ac:dyDescent="0.25">
      <c r="A264" t="s">
        <v>565</v>
      </c>
      <c r="B264" s="1">
        <v>46063.875</v>
      </c>
      <c r="C264">
        <f t="shared" si="2"/>
        <v>14</v>
      </c>
      <c r="D264" s="7">
        <v>0.02</v>
      </c>
      <c r="E264" s="4">
        <v>2000</v>
      </c>
      <c r="F264" s="6">
        <f t="shared" si="3"/>
        <v>40</v>
      </c>
    </row>
    <row r="265" spans="1:6" x14ac:dyDescent="0.25">
      <c r="A265" t="s">
        <v>569</v>
      </c>
      <c r="B265" s="1">
        <v>46063.875</v>
      </c>
      <c r="C265">
        <f t="shared" si="2"/>
        <v>14</v>
      </c>
      <c r="D265" s="7">
        <v>2E-3</v>
      </c>
      <c r="E265" s="4">
        <v>2000</v>
      </c>
      <c r="F265" s="6">
        <f t="shared" si="3"/>
        <v>4</v>
      </c>
    </row>
    <row r="266" spans="1:6" x14ac:dyDescent="0.25">
      <c r="A266" t="s">
        <v>567</v>
      </c>
      <c r="B266" s="1">
        <v>46063.875</v>
      </c>
      <c r="C266">
        <f t="shared" si="2"/>
        <v>14</v>
      </c>
      <c r="D266" s="7">
        <v>3.2000000000000001E-2</v>
      </c>
      <c r="E266" s="4">
        <v>2000</v>
      </c>
      <c r="F266" s="6">
        <f t="shared" si="3"/>
        <v>64</v>
      </c>
    </row>
    <row r="267" spans="1:6" x14ac:dyDescent="0.25">
      <c r="A267" t="s">
        <v>573</v>
      </c>
      <c r="B267" s="1">
        <v>46064.5625</v>
      </c>
      <c r="C267">
        <f t="shared" si="2"/>
        <v>14</v>
      </c>
      <c r="D267" s="7">
        <v>5.0999999999999997E-2</v>
      </c>
      <c r="E267" s="4">
        <v>2000</v>
      </c>
      <c r="F267" s="6">
        <f t="shared" si="3"/>
        <v>102</v>
      </c>
    </row>
    <row r="268" spans="1:6" x14ac:dyDescent="0.25">
      <c r="A268" t="s">
        <v>571</v>
      </c>
      <c r="B268" s="1">
        <v>46064.5625</v>
      </c>
      <c r="C268">
        <f t="shared" si="2"/>
        <v>14</v>
      </c>
      <c r="D268" s="7">
        <v>-0.02</v>
      </c>
      <c r="E268" s="4">
        <v>2000</v>
      </c>
      <c r="F268" s="6">
        <f t="shared" si="3"/>
        <v>-40</v>
      </c>
    </row>
    <row r="269" spans="1:6" x14ac:dyDescent="0.25">
      <c r="A269" t="s">
        <v>583</v>
      </c>
      <c r="B269" s="1">
        <v>46064.875</v>
      </c>
      <c r="C269">
        <f t="shared" si="2"/>
        <v>14</v>
      </c>
      <c r="D269" s="7">
        <v>-5.8999999999999997E-2</v>
      </c>
      <c r="E269" s="4">
        <v>2000</v>
      </c>
      <c r="F269" s="6">
        <f t="shared" si="3"/>
        <v>-118</v>
      </c>
    </row>
    <row r="270" spans="1:6" x14ac:dyDescent="0.25">
      <c r="A270" t="s">
        <v>587</v>
      </c>
      <c r="B270" s="1">
        <v>46064.875</v>
      </c>
      <c r="C270">
        <f t="shared" si="2"/>
        <v>14</v>
      </c>
      <c r="D270" s="7">
        <v>3.4000000000000002E-2</v>
      </c>
      <c r="E270" s="4">
        <v>2000</v>
      </c>
      <c r="F270" s="6">
        <f t="shared" si="3"/>
        <v>68</v>
      </c>
    </row>
    <row r="271" spans="1:6" x14ac:dyDescent="0.25">
      <c r="A271" t="s">
        <v>585</v>
      </c>
      <c r="B271" s="1">
        <v>46064.875</v>
      </c>
      <c r="C271">
        <f t="shared" si="2"/>
        <v>14</v>
      </c>
      <c r="D271" s="7">
        <v>3.5999999999999997E-2</v>
      </c>
      <c r="E271" s="4">
        <v>2000</v>
      </c>
      <c r="F271" s="6">
        <f t="shared" si="3"/>
        <v>72</v>
      </c>
    </row>
    <row r="272" spans="1:6" x14ac:dyDescent="0.25">
      <c r="A272" t="s">
        <v>589</v>
      </c>
      <c r="B272" s="1">
        <v>46064.875</v>
      </c>
      <c r="C272">
        <f t="shared" si="2"/>
        <v>14</v>
      </c>
      <c r="D272" s="7">
        <v>1.2E-2</v>
      </c>
      <c r="E272" s="4">
        <v>2000</v>
      </c>
      <c r="F272" s="6">
        <f t="shared" si="3"/>
        <v>24</v>
      </c>
    </row>
    <row r="273" spans="1:6" x14ac:dyDescent="0.25">
      <c r="A273" t="s">
        <v>581</v>
      </c>
      <c r="B273" s="1">
        <v>46064.875</v>
      </c>
      <c r="C273">
        <f t="shared" si="2"/>
        <v>14</v>
      </c>
      <c r="D273" s="7">
        <v>3.2000000000000001E-2</v>
      </c>
      <c r="E273" s="4">
        <v>2000</v>
      </c>
      <c r="F273" s="6">
        <f t="shared" si="3"/>
        <v>64</v>
      </c>
    </row>
    <row r="274" spans="1:6" x14ac:dyDescent="0.25">
      <c r="A274" t="s">
        <v>577</v>
      </c>
      <c r="B274" s="1">
        <v>46064.875</v>
      </c>
      <c r="C274">
        <f t="shared" si="2"/>
        <v>14</v>
      </c>
      <c r="D274" s="7">
        <v>-1.7999999999999999E-2</v>
      </c>
      <c r="E274" s="4">
        <v>2000</v>
      </c>
      <c r="F274" s="6">
        <f t="shared" si="3"/>
        <v>-36</v>
      </c>
    </row>
    <row r="275" spans="1:6" x14ac:dyDescent="0.25">
      <c r="A275" t="s">
        <v>575</v>
      </c>
      <c r="B275" s="1">
        <v>46064.875</v>
      </c>
      <c r="C275">
        <f t="shared" si="2"/>
        <v>14</v>
      </c>
      <c r="D275" s="7">
        <v>3.2000000000000001E-2</v>
      </c>
      <c r="E275" s="4">
        <v>2000</v>
      </c>
      <c r="F275" s="6">
        <f t="shared" si="3"/>
        <v>64</v>
      </c>
    </row>
    <row r="276" spans="1:6" x14ac:dyDescent="0.25">
      <c r="A276" t="s">
        <v>579</v>
      </c>
      <c r="B276" s="1">
        <v>46064.875</v>
      </c>
      <c r="C276">
        <f t="shared" si="2"/>
        <v>14</v>
      </c>
      <c r="D276" s="7">
        <v>-8.2000000000000003E-2</v>
      </c>
      <c r="E276" s="4">
        <v>2000</v>
      </c>
      <c r="F276" s="6">
        <f t="shared" si="3"/>
        <v>-164</v>
      </c>
    </row>
    <row r="277" spans="1:6" x14ac:dyDescent="0.25">
      <c r="B277" s="1"/>
      <c r="E277" s="4"/>
      <c r="F277" s="6"/>
    </row>
    <row r="278" spans="1:6" x14ac:dyDescent="0.25">
      <c r="B278" s="1"/>
      <c r="E278" s="4"/>
      <c r="F278" s="6"/>
    </row>
    <row r="279" spans="1:6" x14ac:dyDescent="0.25">
      <c r="B279" s="1"/>
      <c r="E279" s="4"/>
      <c r="F279" s="6"/>
    </row>
    <row r="280" spans="1:6" x14ac:dyDescent="0.25">
      <c r="B280" s="1"/>
      <c r="E280" s="4"/>
      <c r="F280" s="6"/>
    </row>
    <row r="281" spans="1:6" x14ac:dyDescent="0.25">
      <c r="B281" s="1"/>
      <c r="E281" s="4"/>
      <c r="F281" s="6"/>
    </row>
    <row r="282" spans="1:6" x14ac:dyDescent="0.25">
      <c r="B282" s="1"/>
      <c r="E282" s="4"/>
      <c r="F282" s="6"/>
    </row>
    <row r="283" spans="1:6" x14ac:dyDescent="0.25">
      <c r="B283" s="1"/>
      <c r="E283" s="4"/>
      <c r="F283" s="6"/>
    </row>
    <row r="284" spans="1:6" x14ac:dyDescent="0.25">
      <c r="B284" s="1"/>
      <c r="E284" s="4"/>
      <c r="F284" s="6"/>
    </row>
    <row r="285" spans="1:6" x14ac:dyDescent="0.25">
      <c r="B285" s="1"/>
      <c r="E285" s="4"/>
      <c r="F285" s="6"/>
    </row>
    <row r="286" spans="1:6" x14ac:dyDescent="0.25">
      <c r="B286" s="1"/>
      <c r="E286" s="4"/>
      <c r="F286" s="6"/>
    </row>
    <row r="287" spans="1:6" x14ac:dyDescent="0.25">
      <c r="B287" s="1"/>
      <c r="E287" s="4"/>
      <c r="F287" s="6"/>
    </row>
    <row r="288" spans="1:6" x14ac:dyDescent="0.25">
      <c r="B288" s="1"/>
      <c r="E288" s="4"/>
      <c r="F288" s="6"/>
    </row>
    <row r="289" spans="2:6" x14ac:dyDescent="0.25">
      <c r="B289" s="1"/>
      <c r="E289" s="4"/>
      <c r="F289" s="6"/>
    </row>
    <row r="290" spans="2:6" x14ac:dyDescent="0.25">
      <c r="B290" s="1"/>
      <c r="E290" s="4"/>
      <c r="F290" s="6"/>
    </row>
    <row r="291" spans="2:6" x14ac:dyDescent="0.25">
      <c r="B291" s="1"/>
      <c r="E291" s="4"/>
      <c r="F291" s="6"/>
    </row>
    <row r="292" spans="2:6" x14ac:dyDescent="0.25">
      <c r="B292" s="1"/>
      <c r="E292" s="4"/>
      <c r="F292" s="6"/>
    </row>
    <row r="293" spans="2:6" x14ac:dyDescent="0.25">
      <c r="B293" s="1"/>
      <c r="E293" s="4"/>
      <c r="F293" s="6"/>
    </row>
    <row r="294" spans="2:6" x14ac:dyDescent="0.25">
      <c r="B294" s="1"/>
      <c r="E294" s="4"/>
      <c r="F294" s="6"/>
    </row>
    <row r="295" spans="2:6" x14ac:dyDescent="0.25">
      <c r="B295" s="1"/>
      <c r="E295" s="4"/>
      <c r="F295" s="6"/>
    </row>
    <row r="296" spans="2:6" x14ac:dyDescent="0.25">
      <c r="B296" s="1"/>
      <c r="E296" s="4"/>
      <c r="F296" s="6"/>
    </row>
    <row r="297" spans="2:6" x14ac:dyDescent="0.25">
      <c r="B297" s="1"/>
      <c r="E297" s="4"/>
      <c r="F297" s="6"/>
    </row>
    <row r="298" spans="2:6" x14ac:dyDescent="0.25">
      <c r="B298" s="1"/>
      <c r="E298" s="4"/>
      <c r="F298" s="6"/>
    </row>
    <row r="299" spans="2:6" x14ac:dyDescent="0.25">
      <c r="B299" s="1"/>
      <c r="E299" s="4"/>
      <c r="F299" s="6"/>
    </row>
    <row r="300" spans="2:6" x14ac:dyDescent="0.25">
      <c r="B300" s="1"/>
      <c r="E300" s="4"/>
      <c r="F300" s="6"/>
    </row>
    <row r="301" spans="2:6" x14ac:dyDescent="0.25">
      <c r="B301" s="1"/>
      <c r="E301" s="4"/>
      <c r="F301" s="6"/>
    </row>
    <row r="302" spans="2:6" x14ac:dyDescent="0.25">
      <c r="B302" s="1"/>
      <c r="E302" s="4"/>
      <c r="F302" s="6"/>
    </row>
    <row r="303" spans="2:6" x14ac:dyDescent="0.25">
      <c r="B303" s="1"/>
      <c r="E303" s="4"/>
      <c r="F30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returns_tracker (1)</vt:lpstr>
      <vt:lpstr>Model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Grossi</cp:lastModifiedBy>
  <dcterms:created xsi:type="dcterms:W3CDTF">2026-02-17T01:40:23Z</dcterms:created>
  <dcterms:modified xsi:type="dcterms:W3CDTF">2026-02-20T17:23:30Z</dcterms:modified>
</cp:coreProperties>
</file>